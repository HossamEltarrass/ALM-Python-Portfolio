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11a88605e1fc4dc/Desktop/BNP Final/"/>
    </mc:Choice>
  </mc:AlternateContent>
  <xr:revisionPtr revIDLastSave="7" documentId="13_ncr:1_{17B4A6B0-8BDE-44BE-A970-3C72985F1839}" xr6:coauthVersionLast="47" xr6:coauthVersionMax="47" xr10:uidLastSave="{520E6CF6-37F6-450A-BC1D-66CF3A49B3BA}"/>
  <bookViews>
    <workbookView xWindow="-120" yWindow="-120" windowWidth="20730" windowHeight="11040" tabRatio="500" xr2:uid="{00000000-000D-0000-FFFF-FFFF00000000}"/>
  </bookViews>
  <sheets>
    <sheet name="Cover" sheetId="1" r:id="rId1"/>
    <sheet name="Dashboard" sheetId="2" r:id="rId2"/>
    <sheet name="Master Balance Sheet" sheetId="3" r:id="rId3"/>
    <sheet name="Engine" sheetId="4" r:id="rId4"/>
    <sheet name="YieldCurve" sheetId="5" r:id="rId5"/>
    <sheet name="Model" sheetId="6" r:id="rId6"/>
  </sheets>
  <definedNames>
    <definedName name="_xlnm.Print_Area" localSheetId="0">Cover!$A$1:$G$37</definedName>
    <definedName name="_xlnm.Print_Area" localSheetId="1">Dashboard!$A$1:$G$122</definedName>
    <definedName name="_xlnm.Print_Area" localSheetId="3">Engine!$A$1:$L$260</definedName>
    <definedName name="_xlnm.Print_Area" localSheetId="2">'Master Balance Sheet'!$A$1:$G$58</definedName>
    <definedName name="_xlnm.Print_Area" localSheetId="5">Model!$A$1:$N$258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7" i="3"/>
  <c r="B37" i="4"/>
  <c r="B37" i="5"/>
  <c r="B37" i="6"/>
  <c r="B37" i="1"/>
  <c r="B5" i="4"/>
  <c r="B356" i="6"/>
  <c r="B331" i="6"/>
  <c r="B230" i="6"/>
  <c r="C151" i="4"/>
  <c r="C292" i="6"/>
  <c r="B151" i="6"/>
  <c r="E31" i="5"/>
  <c r="E32" i="5"/>
  <c r="E33" i="5"/>
  <c r="E34" i="5"/>
  <c r="E35" i="5"/>
  <c r="E30" i="5"/>
  <c r="B36" i="5"/>
  <c r="B35" i="5"/>
  <c r="B34" i="5"/>
  <c r="B33" i="5"/>
  <c r="B32" i="5"/>
  <c r="C367" i="6"/>
  <c r="C326" i="6"/>
  <c r="C325" i="6"/>
  <c r="C324" i="6"/>
  <c r="C323" i="6"/>
  <c r="C301" i="6"/>
  <c r="D221" i="6"/>
  <c r="D220" i="6"/>
  <c r="D219" i="6"/>
  <c r="D218" i="6"/>
  <c r="D217" i="6"/>
  <c r="D216" i="6"/>
  <c r="D215" i="6"/>
  <c r="E112" i="6"/>
  <c r="G112" i="6" s="1"/>
  <c r="C112" i="6"/>
  <c r="D112" i="6" s="1"/>
  <c r="I105" i="6"/>
  <c r="J105" i="6" s="1"/>
  <c r="G105" i="6"/>
  <c r="H105" i="6" s="1"/>
  <c r="E105" i="6"/>
  <c r="F105" i="6" s="1"/>
  <c r="C105" i="6"/>
  <c r="D105" i="6" s="1"/>
  <c r="F73" i="6"/>
  <c r="E73" i="6"/>
  <c r="D73" i="6"/>
  <c r="C73" i="6"/>
  <c r="D4" i="6"/>
  <c r="C269" i="4"/>
  <c r="C239" i="4"/>
  <c r="C238" i="4"/>
  <c r="D145" i="4"/>
  <c r="C145" i="4"/>
  <c r="D140" i="4"/>
  <c r="C15" i="6" s="1"/>
  <c r="C140" i="4"/>
  <c r="D139" i="4"/>
  <c r="C27" i="2" s="1"/>
  <c r="C139" i="4"/>
  <c r="D138" i="4"/>
  <c r="C81" i="6" s="1"/>
  <c r="C138" i="4"/>
  <c r="D137" i="4"/>
  <c r="C103" i="6" s="1"/>
  <c r="D103" i="6" s="1"/>
  <c r="C137" i="4"/>
  <c r="D136" i="4"/>
  <c r="C77" i="6" s="1"/>
  <c r="C136" i="4"/>
  <c r="D130" i="4"/>
  <c r="C110" i="6" s="1"/>
  <c r="D110" i="6" s="1"/>
  <c r="C130" i="4"/>
  <c r="D129" i="4"/>
  <c r="C113" i="6" s="1"/>
  <c r="D113" i="6" s="1"/>
  <c r="C129" i="4"/>
  <c r="D128" i="4"/>
  <c r="C128" i="4"/>
  <c r="C149" i="4" s="1"/>
  <c r="D127" i="4"/>
  <c r="D119" i="6" s="1"/>
  <c r="C127" i="4"/>
  <c r="D126" i="4"/>
  <c r="C83" i="6" s="1"/>
  <c r="C126" i="4"/>
  <c r="G122" i="4"/>
  <c r="F122" i="4"/>
  <c r="E122" i="4"/>
  <c r="D122" i="4"/>
  <c r="D15" i="6" s="1"/>
  <c r="C122" i="4"/>
  <c r="D121" i="4"/>
  <c r="D12" i="6" s="1"/>
  <c r="C121" i="4"/>
  <c r="D120" i="4"/>
  <c r="D14" i="6" s="1"/>
  <c r="C120" i="4"/>
  <c r="D119" i="4"/>
  <c r="D7" i="6" s="1"/>
  <c r="C119" i="4"/>
  <c r="D118" i="4"/>
  <c r="D13" i="6" s="1"/>
  <c r="C118" i="4"/>
  <c r="D117" i="4"/>
  <c r="D11" i="6" s="1"/>
  <c r="C117" i="4"/>
  <c r="D116" i="4"/>
  <c r="C208" i="4" s="1"/>
  <c r="F156" i="6" s="1"/>
  <c r="C116" i="4"/>
  <c r="G19" i="4"/>
  <c r="F19" i="4"/>
  <c r="E19" i="4"/>
  <c r="D19" i="4"/>
  <c r="G18" i="4"/>
  <c r="F18" i="4"/>
  <c r="E18" i="4"/>
  <c r="D18" i="4"/>
  <c r="B74" i="2"/>
  <c r="C19" i="2"/>
  <c r="C18" i="2"/>
  <c r="G4" i="2"/>
  <c r="C4" i="4" s="1"/>
  <c r="F5" i="4" s="1"/>
  <c r="C27" i="1"/>
  <c r="C14" i="1"/>
  <c r="C12" i="1"/>
  <c r="C11" i="1"/>
  <c r="C10" i="1"/>
  <c r="C9" i="1"/>
  <c r="C8" i="1"/>
  <c r="B31" i="5"/>
  <c r="B30" i="5"/>
  <c r="B29" i="5"/>
  <c r="B28" i="5"/>
  <c r="B27" i="5"/>
  <c r="C26" i="5"/>
  <c r="B26" i="5"/>
  <c r="C25" i="5"/>
  <c r="H25" i="5" s="1"/>
  <c r="B25" i="5"/>
  <c r="B20" i="5"/>
  <c r="B19" i="5"/>
  <c r="B18" i="5"/>
  <c r="B17" i="5"/>
  <c r="B16" i="5"/>
  <c r="B15" i="5"/>
  <c r="B14" i="5"/>
  <c r="B13" i="5"/>
  <c r="B12" i="5"/>
  <c r="B11" i="5"/>
  <c r="C11" i="5" s="1"/>
  <c r="B7" i="5"/>
  <c r="B6" i="5"/>
  <c r="B5" i="5"/>
  <c r="B4" i="5"/>
  <c r="C16" i="2" l="1"/>
  <c r="C115" i="6"/>
  <c r="D115" i="6" s="1"/>
  <c r="C117" i="6"/>
  <c r="D117" i="6" s="1"/>
  <c r="C99" i="6"/>
  <c r="D99" i="6" s="1"/>
  <c r="C24" i="2"/>
  <c r="C15" i="2"/>
  <c r="C12" i="6"/>
  <c r="E12" i="6" s="1"/>
  <c r="D149" i="4"/>
  <c r="D50" i="2" s="1"/>
  <c r="C25" i="2"/>
  <c r="C199" i="6"/>
  <c r="C236" i="4"/>
  <c r="C80" i="6"/>
  <c r="I25" i="5"/>
  <c r="J233" i="6" s="1"/>
  <c r="R234" i="6"/>
  <c r="C28" i="2"/>
  <c r="C5" i="6"/>
  <c r="C127" i="6"/>
  <c r="D131" i="4"/>
  <c r="C20" i="2" s="1"/>
  <c r="D5" i="6"/>
  <c r="C26" i="2"/>
  <c r="B3" i="2"/>
  <c r="C205" i="4"/>
  <c r="C156" i="6" s="1"/>
  <c r="I156" i="6" s="1"/>
  <c r="C207" i="4"/>
  <c r="E156" i="6" s="1"/>
  <c r="C102" i="6"/>
  <c r="D102" i="6" s="1"/>
  <c r="C200" i="6"/>
  <c r="E15" i="6"/>
  <c r="C233" i="4"/>
  <c r="B38" i="6"/>
  <c r="C36" i="4"/>
  <c r="C37" i="4" s="1"/>
  <c r="D40" i="6" s="1"/>
  <c r="D233" i="6" s="1"/>
  <c r="C17" i="2"/>
  <c r="C234" i="4"/>
  <c r="D26" i="5"/>
  <c r="F234" i="6" s="1"/>
  <c r="F26" i="5"/>
  <c r="G26" i="5" s="1"/>
  <c r="H234" i="6" s="1"/>
  <c r="L26" i="5"/>
  <c r="M26" i="5" s="1"/>
  <c r="N234" i="6" s="1"/>
  <c r="F25" i="5"/>
  <c r="G25" i="5" s="1"/>
  <c r="H233" i="6" s="1"/>
  <c r="J26" i="5"/>
  <c r="K26" i="5" s="1"/>
  <c r="L234" i="6" s="1"/>
  <c r="L25" i="5"/>
  <c r="M25" i="5" s="1"/>
  <c r="N233" i="6" s="1"/>
  <c r="D25" i="5"/>
  <c r="F233" i="6" s="1"/>
  <c r="J25" i="5"/>
  <c r="K25" i="5" s="1"/>
  <c r="L233" i="6" s="1"/>
  <c r="C12" i="5"/>
  <c r="D12" i="5" s="1"/>
  <c r="D11" i="5"/>
  <c r="D205" i="6"/>
  <c r="D203" i="6"/>
  <c r="D201" i="6"/>
  <c r="D199" i="6"/>
  <c r="C100" i="6"/>
  <c r="D100" i="6" s="1"/>
  <c r="C11" i="6"/>
  <c r="D52" i="6"/>
  <c r="D204" i="6"/>
  <c r="D200" i="6"/>
  <c r="D141" i="4"/>
  <c r="D142" i="4" s="1"/>
  <c r="C136" i="6"/>
  <c r="D202" i="6"/>
  <c r="C31" i="2"/>
  <c r="C78" i="6"/>
  <c r="I112" i="6"/>
  <c r="J112" i="6" s="1"/>
  <c r="H112" i="6"/>
  <c r="C202" i="6"/>
  <c r="F112" i="6"/>
  <c r="C19" i="6"/>
  <c r="C88" i="6"/>
  <c r="C232" i="4"/>
  <c r="C205" i="6"/>
  <c r="C44" i="6"/>
  <c r="C231" i="4"/>
  <c r="C201" i="6"/>
  <c r="D51" i="6"/>
  <c r="C41" i="6"/>
  <c r="C204" i="6"/>
  <c r="D109" i="6"/>
  <c r="C46" i="6"/>
  <c r="C109" i="6"/>
  <c r="C203" i="6"/>
  <c r="C84" i="6"/>
  <c r="D6" i="6"/>
  <c r="B140" i="6"/>
  <c r="B197" i="6"/>
  <c r="B213" i="6"/>
  <c r="B125" i="6"/>
  <c r="D5" i="4"/>
  <c r="C179" i="6" s="1"/>
  <c r="C5" i="4"/>
  <c r="B2" i="6"/>
  <c r="B21" i="6"/>
  <c r="B49" i="6"/>
  <c r="C260" i="4"/>
  <c r="K5" i="4"/>
  <c r="E138" i="4" s="1"/>
  <c r="H5" i="4"/>
  <c r="C339" i="6" s="1"/>
  <c r="G5" i="4"/>
  <c r="C28" i="6" s="1"/>
  <c r="C41" i="2" s="1"/>
  <c r="C300" i="6"/>
  <c r="C206" i="4"/>
  <c r="D156" i="6" s="1"/>
  <c r="C135" i="6"/>
  <c r="D135" i="6" s="1"/>
  <c r="C131" i="4"/>
  <c r="C132" i="4" s="1"/>
  <c r="C141" i="4"/>
  <c r="C142" i="4" s="1"/>
  <c r="C43" i="6"/>
  <c r="C79" i="6"/>
  <c r="C14" i="6"/>
  <c r="E14" i="6" s="1"/>
  <c r="C101" i="6"/>
  <c r="D101" i="6" s="1"/>
  <c r="E139" i="4"/>
  <c r="I5" i="4"/>
  <c r="E127" i="4" s="1"/>
  <c r="C13" i="6"/>
  <c r="E13" i="6" s="1"/>
  <c r="C128" i="6"/>
  <c r="C98" i="6"/>
  <c r="C42" i="6"/>
  <c r="E5" i="4"/>
  <c r="C337" i="6" s="1"/>
  <c r="P234" i="6"/>
  <c r="C263" i="6"/>
  <c r="E263" i="6" s="1"/>
  <c r="H26" i="5"/>
  <c r="I26" i="5" s="1"/>
  <c r="J234" i="6" s="1"/>
  <c r="J5" i="4"/>
  <c r="E129" i="4" s="1"/>
  <c r="C262" i="6"/>
  <c r="E262" i="6" s="1"/>
  <c r="C261" i="6"/>
  <c r="E261" i="6" s="1"/>
  <c r="R233" i="6"/>
  <c r="P233" i="6"/>
  <c r="C82" i="6"/>
  <c r="C104" i="6"/>
  <c r="D104" i="6" s="1"/>
  <c r="C45" i="6"/>
  <c r="C237" i="4"/>
  <c r="C6" i="6"/>
  <c r="C40" i="6"/>
  <c r="C72" i="6"/>
  <c r="C210" i="4"/>
  <c r="C157" i="6" s="1"/>
  <c r="C241" i="4"/>
  <c r="C7" i="6"/>
  <c r="E7" i="6" s="1"/>
  <c r="C111" i="6"/>
  <c r="D111" i="6" s="1"/>
  <c r="B6" i="2"/>
  <c r="C211" i="4"/>
  <c r="D157" i="6" s="1"/>
  <c r="C242" i="4"/>
  <c r="C51" i="6"/>
  <c r="C70" i="6"/>
  <c r="C116" i="6"/>
  <c r="D116" i="6" s="1"/>
  <c r="E137" i="4"/>
  <c r="C212" i="4"/>
  <c r="E157" i="6" s="1"/>
  <c r="C243" i="4"/>
  <c r="C213" i="4"/>
  <c r="F157" i="6" s="1"/>
  <c r="C244" i="4"/>
  <c r="C4" i="6"/>
  <c r="C114" i="6"/>
  <c r="D114" i="6" s="1"/>
  <c r="C119" i="6"/>
  <c r="E140" i="4"/>
  <c r="C71" i="6"/>
  <c r="C28" i="5" l="1"/>
  <c r="C248" i="4"/>
  <c r="E199" i="6"/>
  <c r="F199" i="6" s="1"/>
  <c r="C29" i="5"/>
  <c r="L29" i="5" s="1"/>
  <c r="H156" i="6"/>
  <c r="E200" i="6"/>
  <c r="F200" i="6" s="1"/>
  <c r="G156" i="6"/>
  <c r="C249" i="4"/>
  <c r="E203" i="6"/>
  <c r="D41" i="6"/>
  <c r="D234" i="6" s="1"/>
  <c r="D118" i="6"/>
  <c r="D120" i="6" s="1"/>
  <c r="E131" i="4"/>
  <c r="D20" i="2" s="1"/>
  <c r="D45" i="6"/>
  <c r="D238" i="6" s="1"/>
  <c r="D43" i="6"/>
  <c r="D236" i="6" s="1"/>
  <c r="D46" i="6"/>
  <c r="D239" i="6" s="1"/>
  <c r="E5" i="6"/>
  <c r="D44" i="6"/>
  <c r="D237" i="6" s="1"/>
  <c r="C52" i="6"/>
  <c r="C53" i="6" s="1"/>
  <c r="D132" i="4"/>
  <c r="C129" i="6" s="1"/>
  <c r="D144" i="6" s="1"/>
  <c r="D58" i="2" s="1"/>
  <c r="C137" i="6"/>
  <c r="E205" i="6"/>
  <c r="D42" i="6"/>
  <c r="D235" i="6" s="1"/>
  <c r="E25" i="5"/>
  <c r="C13" i="5"/>
  <c r="D13" i="5" s="1"/>
  <c r="E204" i="6"/>
  <c r="H157" i="6"/>
  <c r="E6" i="6"/>
  <c r="C85" i="6"/>
  <c r="E201" i="6"/>
  <c r="D146" i="4"/>
  <c r="C30" i="2"/>
  <c r="D150" i="4"/>
  <c r="C146" i="4"/>
  <c r="C150" i="4"/>
  <c r="C180" i="6"/>
  <c r="C265" i="6"/>
  <c r="E265" i="6" s="1"/>
  <c r="J28" i="5"/>
  <c r="H28" i="5"/>
  <c r="L28" i="5"/>
  <c r="F28" i="5"/>
  <c r="D28" i="5"/>
  <c r="E128" i="4"/>
  <c r="C246" i="4"/>
  <c r="C27" i="5"/>
  <c r="C237" i="6"/>
  <c r="E102" i="6"/>
  <c r="F102" i="6" s="1"/>
  <c r="D28" i="2"/>
  <c r="F140" i="4"/>
  <c r="C130" i="6"/>
  <c r="D143" i="6"/>
  <c r="D57" i="2" s="1"/>
  <c r="D177" i="6"/>
  <c r="C335" i="6"/>
  <c r="H177" i="6"/>
  <c r="G177" i="6"/>
  <c r="G119" i="4"/>
  <c r="F177" i="6"/>
  <c r="F119" i="4"/>
  <c r="E177" i="6"/>
  <c r="C177" i="6"/>
  <c r="F121" i="4"/>
  <c r="E121" i="4"/>
  <c r="G120" i="4"/>
  <c r="E118" i="4"/>
  <c r="F120" i="4"/>
  <c r="E120" i="4"/>
  <c r="G118" i="4"/>
  <c r="E116" i="4"/>
  <c r="G121" i="4"/>
  <c r="E119" i="4"/>
  <c r="F118" i="4"/>
  <c r="I177" i="6"/>
  <c r="J177" i="6"/>
  <c r="E202" i="6"/>
  <c r="F137" i="4"/>
  <c r="E103" i="6"/>
  <c r="F103" i="6" s="1"/>
  <c r="D80" i="6"/>
  <c r="D25" i="2"/>
  <c r="E117" i="4"/>
  <c r="C266" i="6"/>
  <c r="E266" i="6" s="1"/>
  <c r="J29" i="5"/>
  <c r="H29" i="5"/>
  <c r="F29" i="5"/>
  <c r="D29" i="5"/>
  <c r="E4" i="6"/>
  <c r="C8" i="6"/>
  <c r="C47" i="6"/>
  <c r="C48" i="6" s="1"/>
  <c r="C233" i="6"/>
  <c r="E40" i="6"/>
  <c r="C236" i="6"/>
  <c r="D82" i="6"/>
  <c r="D26" i="2"/>
  <c r="D81" i="6"/>
  <c r="F138" i="4"/>
  <c r="E104" i="6"/>
  <c r="F104" i="6" s="1"/>
  <c r="C239" i="6"/>
  <c r="E46" i="6"/>
  <c r="D121" i="6"/>
  <c r="E136" i="4"/>
  <c r="D53" i="6"/>
  <c r="F179" i="6"/>
  <c r="C74" i="6"/>
  <c r="C279" i="6"/>
  <c r="I157" i="6"/>
  <c r="C247" i="4"/>
  <c r="F119" i="6"/>
  <c r="E119" i="6"/>
  <c r="E117" i="6"/>
  <c r="F117" i="6" s="1"/>
  <c r="F127" i="4"/>
  <c r="E116" i="6"/>
  <c r="F116" i="6" s="1"/>
  <c r="E115" i="6"/>
  <c r="F115" i="6" s="1"/>
  <c r="D16" i="2"/>
  <c r="C16" i="6"/>
  <c r="E11" i="6"/>
  <c r="E16" i="6" s="1"/>
  <c r="C336" i="6"/>
  <c r="E130" i="4"/>
  <c r="C235" i="6"/>
  <c r="E42" i="6"/>
  <c r="C234" i="6"/>
  <c r="D79" i="6"/>
  <c r="E101" i="6"/>
  <c r="F101" i="6" s="1"/>
  <c r="F139" i="4"/>
  <c r="D27" i="2"/>
  <c r="C338" i="6"/>
  <c r="G148" i="6"/>
  <c r="F148" i="6"/>
  <c r="E148" i="6"/>
  <c r="D148" i="6"/>
  <c r="C29" i="2"/>
  <c r="E141" i="4"/>
  <c r="G157" i="6"/>
  <c r="C238" i="6"/>
  <c r="D18" i="2"/>
  <c r="F129" i="4"/>
  <c r="E113" i="6"/>
  <c r="F113" i="6" s="1"/>
  <c r="C106" i="6"/>
  <c r="D98" i="6"/>
  <c r="D106" i="6" s="1"/>
  <c r="C121" i="6"/>
  <c r="M29" i="5" l="1"/>
  <c r="N237" i="6" s="1"/>
  <c r="I29" i="5"/>
  <c r="J237" i="6" s="1"/>
  <c r="M28" i="5"/>
  <c r="N236" i="6" s="1"/>
  <c r="I28" i="5"/>
  <c r="J236" i="6" s="1"/>
  <c r="G29" i="5"/>
  <c r="H237" i="6" s="1"/>
  <c r="K28" i="5"/>
  <c r="L236" i="6" s="1"/>
  <c r="K29" i="5"/>
  <c r="L237" i="6" s="1"/>
  <c r="G28" i="5"/>
  <c r="H236" i="6" s="1"/>
  <c r="C32" i="5"/>
  <c r="E41" i="6"/>
  <c r="C147" i="4"/>
  <c r="C14" i="5"/>
  <c r="D14" i="5" s="1"/>
  <c r="F131" i="4"/>
  <c r="E44" i="6"/>
  <c r="G44" i="6" s="1"/>
  <c r="E45" i="6"/>
  <c r="C220" i="6" s="1"/>
  <c r="E220" i="6" s="1"/>
  <c r="D47" i="6"/>
  <c r="D48" i="6" s="1"/>
  <c r="C24" i="6"/>
  <c r="C38" i="2" s="1"/>
  <c r="C21" i="2"/>
  <c r="D147" i="4"/>
  <c r="C33" i="2" s="1"/>
  <c r="E43" i="6"/>
  <c r="G43" i="6" s="1"/>
  <c r="F118" i="6"/>
  <c r="F120" i="6" s="1"/>
  <c r="E8" i="6"/>
  <c r="C18" i="6" s="1"/>
  <c r="C281" i="6"/>
  <c r="E142" i="4"/>
  <c r="E99" i="6"/>
  <c r="F99" i="6" s="1"/>
  <c r="D78" i="6"/>
  <c r="D77" i="6"/>
  <c r="F136" i="4"/>
  <c r="E100" i="6"/>
  <c r="F100" i="6" s="1"/>
  <c r="D24" i="2"/>
  <c r="G46" i="6"/>
  <c r="E239" i="6"/>
  <c r="C221" i="6"/>
  <c r="E221" i="6" s="1"/>
  <c r="C215" i="6"/>
  <c r="E215" i="6" s="1"/>
  <c r="E233" i="6"/>
  <c r="G40" i="6"/>
  <c r="F40" i="6"/>
  <c r="F41" i="6" s="1"/>
  <c r="F42" i="6" s="1"/>
  <c r="C122" i="6"/>
  <c r="D146" i="6" s="1"/>
  <c r="R235" i="6"/>
  <c r="C264" i="6"/>
  <c r="E264" i="6" s="1"/>
  <c r="J27" i="5"/>
  <c r="K27" i="5" s="1"/>
  <c r="L235" i="6" s="1"/>
  <c r="H27" i="5"/>
  <c r="I27" i="5" s="1"/>
  <c r="J235" i="6" s="1"/>
  <c r="P235" i="6"/>
  <c r="F27" i="5"/>
  <c r="G27" i="5" s="1"/>
  <c r="H235" i="6" s="1"/>
  <c r="L27" i="5"/>
  <c r="M27" i="5" s="1"/>
  <c r="N235" i="6" s="1"/>
  <c r="D27" i="5"/>
  <c r="F180" i="6"/>
  <c r="H119" i="6"/>
  <c r="G119" i="6"/>
  <c r="G127" i="4"/>
  <c r="G116" i="6"/>
  <c r="H116" i="6" s="1"/>
  <c r="G115" i="6"/>
  <c r="H115" i="6" s="1"/>
  <c r="G117" i="6"/>
  <c r="H117" i="6" s="1"/>
  <c r="E16" i="2"/>
  <c r="D305" i="6"/>
  <c r="C305" i="6"/>
  <c r="F305" i="6"/>
  <c r="E305" i="6"/>
  <c r="F116" i="4"/>
  <c r="G116" i="4" s="1"/>
  <c r="D188" i="6"/>
  <c r="D190" i="6"/>
  <c r="D180" i="6"/>
  <c r="E180" i="6" s="1"/>
  <c r="D181" i="6"/>
  <c r="D185" i="6"/>
  <c r="D189" i="6"/>
  <c r="D182" i="6"/>
  <c r="D186" i="6"/>
  <c r="D183" i="6"/>
  <c r="D187" i="6"/>
  <c r="D184" i="6"/>
  <c r="D179" i="6"/>
  <c r="E179" i="6" s="1"/>
  <c r="C299" i="6"/>
  <c r="C274" i="6"/>
  <c r="E109" i="6"/>
  <c r="F109" i="6" s="1"/>
  <c r="F128" i="4"/>
  <c r="D84" i="6"/>
  <c r="E149" i="4"/>
  <c r="E50" i="2" s="1"/>
  <c r="D127" i="6"/>
  <c r="D17" i="2"/>
  <c r="D28" i="6"/>
  <c r="D41" i="2" s="1"/>
  <c r="D88" i="6"/>
  <c r="F201" i="6"/>
  <c r="E234" i="6"/>
  <c r="G41" i="6"/>
  <c r="C216" i="6"/>
  <c r="E216" i="6" s="1"/>
  <c r="C61" i="6"/>
  <c r="C60" i="6"/>
  <c r="C59" i="6"/>
  <c r="C57" i="6"/>
  <c r="C58" i="6"/>
  <c r="C62" i="6"/>
  <c r="C217" i="6"/>
  <c r="E217" i="6" s="1"/>
  <c r="G42" i="6"/>
  <c r="E235" i="6"/>
  <c r="C181" i="6"/>
  <c r="G101" i="6"/>
  <c r="H101" i="6" s="1"/>
  <c r="E79" i="6"/>
  <c r="G139" i="4"/>
  <c r="E27" i="2"/>
  <c r="R236" i="6"/>
  <c r="F236" i="6"/>
  <c r="P236" i="6"/>
  <c r="E28" i="5"/>
  <c r="G103" i="6"/>
  <c r="H103" i="6" s="1"/>
  <c r="G137" i="4"/>
  <c r="E25" i="2"/>
  <c r="E80" i="6"/>
  <c r="G104" i="6"/>
  <c r="H104" i="6" s="1"/>
  <c r="E82" i="6"/>
  <c r="E26" i="2"/>
  <c r="E81" i="6"/>
  <c r="G138" i="4"/>
  <c r="P237" i="6"/>
  <c r="R237" i="6"/>
  <c r="F237" i="6"/>
  <c r="D29" i="2"/>
  <c r="F141" i="4"/>
  <c r="G131" i="4"/>
  <c r="F20" i="2" s="1"/>
  <c r="E20" i="2"/>
  <c r="C278" i="6"/>
  <c r="C280" i="6" s="1"/>
  <c r="F117" i="4"/>
  <c r="G117" i="4" s="1"/>
  <c r="G181" i="6"/>
  <c r="G189" i="6"/>
  <c r="G184" i="6"/>
  <c r="G183" i="6"/>
  <c r="G179" i="6"/>
  <c r="H179" i="6" s="1"/>
  <c r="G182" i="6"/>
  <c r="G190" i="6"/>
  <c r="G188" i="6"/>
  <c r="G186" i="6"/>
  <c r="G187" i="6"/>
  <c r="G185" i="6"/>
  <c r="G180" i="6"/>
  <c r="C219" i="6"/>
  <c r="E219" i="6" s="1"/>
  <c r="E237" i="6"/>
  <c r="E111" i="6"/>
  <c r="F111" i="6" s="1"/>
  <c r="F130" i="4"/>
  <c r="D72" i="6"/>
  <c r="D19" i="2"/>
  <c r="E110" i="6"/>
  <c r="F110" i="6" s="1"/>
  <c r="D71" i="6"/>
  <c r="E18" i="2"/>
  <c r="G129" i="4"/>
  <c r="G113" i="6"/>
  <c r="H113" i="6" s="1"/>
  <c r="G204" i="6"/>
  <c r="G202" i="6"/>
  <c r="G200" i="6"/>
  <c r="H200" i="6" s="1"/>
  <c r="G201" i="6"/>
  <c r="G203" i="6"/>
  <c r="G205" i="6"/>
  <c r="G199" i="6"/>
  <c r="C32" i="2"/>
  <c r="D151" i="4"/>
  <c r="D51" i="2" s="1"/>
  <c r="E28" i="2"/>
  <c r="G102" i="6"/>
  <c r="H102" i="6" s="1"/>
  <c r="G140" i="4"/>
  <c r="C33" i="5" l="1"/>
  <c r="C15" i="5"/>
  <c r="D15" i="5" s="1"/>
  <c r="J32" i="5"/>
  <c r="F32" i="5"/>
  <c r="D32" i="5"/>
  <c r="L32" i="5"/>
  <c r="H32" i="5"/>
  <c r="D59" i="6"/>
  <c r="C361" i="6" s="1"/>
  <c r="D361" i="6" s="1"/>
  <c r="G45" i="6"/>
  <c r="G47" i="6" s="1"/>
  <c r="E238" i="6"/>
  <c r="D55" i="6"/>
  <c r="D58" i="6" s="1"/>
  <c r="E236" i="6"/>
  <c r="C218" i="6"/>
  <c r="E218" i="6" s="1"/>
  <c r="G215" i="6" s="1"/>
  <c r="F43" i="6"/>
  <c r="F44" i="6" s="1"/>
  <c r="F45" i="6" s="1"/>
  <c r="F46" i="6" s="1"/>
  <c r="F47" i="6" s="1"/>
  <c r="D61" i="6"/>
  <c r="E363" i="6" s="1"/>
  <c r="D60" i="6"/>
  <c r="F362" i="6" s="1"/>
  <c r="D62" i="6"/>
  <c r="C364" i="6" s="1"/>
  <c r="D364" i="6" s="1"/>
  <c r="C16" i="5"/>
  <c r="D16" i="5" s="1"/>
  <c r="E47" i="6"/>
  <c r="C23" i="6"/>
  <c r="C25" i="6" s="1"/>
  <c r="C20" i="6"/>
  <c r="G217" i="6"/>
  <c r="C282" i="6"/>
  <c r="G220" i="6"/>
  <c r="I233" i="6"/>
  <c r="Q233" i="6"/>
  <c r="S233" i="6"/>
  <c r="O233" i="6"/>
  <c r="K233" i="6"/>
  <c r="G233" i="6"/>
  <c r="M233" i="6"/>
  <c r="D312" i="6"/>
  <c r="D309" i="6"/>
  <c r="C312" i="6"/>
  <c r="C309" i="6"/>
  <c r="F311" i="6"/>
  <c r="F308" i="6"/>
  <c r="E311" i="6"/>
  <c r="E308" i="6"/>
  <c r="D311" i="6"/>
  <c r="D308" i="6"/>
  <c r="C311" i="6"/>
  <c r="C308" i="6"/>
  <c r="F313" i="6"/>
  <c r="F310" i="6"/>
  <c r="F307" i="6"/>
  <c r="E313" i="6"/>
  <c r="E310" i="6"/>
  <c r="E307" i="6"/>
  <c r="D313" i="6"/>
  <c r="D310" i="6"/>
  <c r="D307" i="6"/>
  <c r="C313" i="6"/>
  <c r="C310" i="6"/>
  <c r="C307" i="6"/>
  <c r="F312" i="6"/>
  <c r="F309" i="6"/>
  <c r="E312" i="6"/>
  <c r="E309" i="6"/>
  <c r="F215" i="6"/>
  <c r="F216" i="6" s="1"/>
  <c r="F217" i="6" s="1"/>
  <c r="F218" i="6" s="1"/>
  <c r="F219" i="6" s="1"/>
  <c r="F220" i="6" s="1"/>
  <c r="F221" i="6" s="1"/>
  <c r="I115" i="6"/>
  <c r="J115" i="6" s="1"/>
  <c r="F16" i="2"/>
  <c r="J119" i="6"/>
  <c r="I119" i="6"/>
  <c r="I117" i="6"/>
  <c r="J117" i="6" s="1"/>
  <c r="I116" i="6"/>
  <c r="J116" i="6" s="1"/>
  <c r="D53" i="2"/>
  <c r="D60" i="2"/>
  <c r="G216" i="6"/>
  <c r="F364" i="6"/>
  <c r="E364" i="6"/>
  <c r="F80" i="6"/>
  <c r="F25" i="2"/>
  <c r="I103" i="6"/>
  <c r="J103" i="6" s="1"/>
  <c r="C182" i="6"/>
  <c r="E181" i="6"/>
  <c r="F18" i="2"/>
  <c r="I113" i="6"/>
  <c r="J113" i="6" s="1"/>
  <c r="H199" i="6"/>
  <c r="F82" i="6"/>
  <c r="F26" i="2"/>
  <c r="F81" i="6"/>
  <c r="I104" i="6"/>
  <c r="J104" i="6" s="1"/>
  <c r="H180" i="6"/>
  <c r="F181" i="6"/>
  <c r="D30" i="2"/>
  <c r="E150" i="4"/>
  <c r="G219" i="6"/>
  <c r="S234" i="6"/>
  <c r="G234" i="6"/>
  <c r="Q234" i="6"/>
  <c r="O234" i="6"/>
  <c r="M234" i="6"/>
  <c r="K234" i="6"/>
  <c r="I234" i="6"/>
  <c r="H118" i="6"/>
  <c r="H120" i="6" s="1"/>
  <c r="F142" i="4"/>
  <c r="G99" i="6"/>
  <c r="H99" i="6" s="1"/>
  <c r="E78" i="6"/>
  <c r="G100" i="6"/>
  <c r="H100" i="6" s="1"/>
  <c r="G136" i="4"/>
  <c r="E24" i="2"/>
  <c r="E77" i="6"/>
  <c r="K235" i="6"/>
  <c r="S235" i="6"/>
  <c r="Q235" i="6"/>
  <c r="O235" i="6"/>
  <c r="M235" i="6"/>
  <c r="I235" i="6"/>
  <c r="F202" i="6"/>
  <c r="H201" i="6"/>
  <c r="G221" i="6"/>
  <c r="E29" i="2"/>
  <c r="G141" i="4"/>
  <c r="F29" i="2" s="1"/>
  <c r="D66" i="6"/>
  <c r="C66" i="6" s="1"/>
  <c r="B64" i="6"/>
  <c r="C54" i="6"/>
  <c r="D65" i="2" s="1"/>
  <c r="I101" i="6"/>
  <c r="J101" i="6" s="1"/>
  <c r="F27" i="2"/>
  <c r="F79" i="6"/>
  <c r="F235" i="6"/>
  <c r="G235" i="6" s="1"/>
  <c r="E27" i="5"/>
  <c r="E26" i="5"/>
  <c r="F28" i="2"/>
  <c r="I102" i="6"/>
  <c r="J102" i="6" s="1"/>
  <c r="D136" i="6"/>
  <c r="D137" i="6" s="1"/>
  <c r="C37" i="2"/>
  <c r="G111" i="6"/>
  <c r="H111" i="6" s="1"/>
  <c r="G110" i="6"/>
  <c r="H110" i="6" s="1"/>
  <c r="E72" i="6"/>
  <c r="E19" i="2"/>
  <c r="E71" i="6"/>
  <c r="G130" i="4"/>
  <c r="I236" i="6"/>
  <c r="S236" i="6"/>
  <c r="G236" i="6"/>
  <c r="Q236" i="6"/>
  <c r="O236" i="6"/>
  <c r="M236" i="6"/>
  <c r="K236" i="6"/>
  <c r="M237" i="6"/>
  <c r="I237" i="6"/>
  <c r="Q237" i="6"/>
  <c r="O237" i="6"/>
  <c r="K237" i="6"/>
  <c r="G237" i="6"/>
  <c r="S237" i="6"/>
  <c r="G109" i="6"/>
  <c r="H109" i="6" s="1"/>
  <c r="E28" i="6"/>
  <c r="E41" i="2" s="1"/>
  <c r="F149" i="4"/>
  <c r="F50" i="2" s="1"/>
  <c r="E17" i="2"/>
  <c r="E127" i="6"/>
  <c r="E84" i="6"/>
  <c r="E88" i="6"/>
  <c r="G128" i="4"/>
  <c r="G218" i="6"/>
  <c r="E361" i="6" l="1"/>
  <c r="F361" i="6"/>
  <c r="D57" i="6"/>
  <c r="G359" i="6" s="1"/>
  <c r="C34" i="5"/>
  <c r="G32" i="5"/>
  <c r="M32" i="5"/>
  <c r="K32" i="5"/>
  <c r="C363" i="6"/>
  <c r="D363" i="6" s="1"/>
  <c r="C30" i="5"/>
  <c r="I32" i="5"/>
  <c r="E240" i="6"/>
  <c r="E292" i="6" s="1"/>
  <c r="H33" i="5"/>
  <c r="F33" i="5"/>
  <c r="D33" i="5"/>
  <c r="J33" i="5"/>
  <c r="L33" i="5"/>
  <c r="F363" i="6"/>
  <c r="E222" i="6"/>
  <c r="E224" i="6" s="1"/>
  <c r="C289" i="6" s="1"/>
  <c r="C17" i="5"/>
  <c r="D17" i="5" s="1"/>
  <c r="C362" i="6"/>
  <c r="D362" i="6" s="1"/>
  <c r="E362" i="6"/>
  <c r="E182" i="6"/>
  <c r="C183" i="6"/>
  <c r="F182" i="6"/>
  <c r="H181" i="6"/>
  <c r="F77" i="6"/>
  <c r="G142" i="4"/>
  <c r="I99" i="6"/>
  <c r="J99" i="6" s="1"/>
  <c r="F78" i="6"/>
  <c r="F24" i="2"/>
  <c r="I100" i="6"/>
  <c r="J100" i="6" s="1"/>
  <c r="E360" i="6"/>
  <c r="C360" i="6"/>
  <c r="D360" i="6" s="1"/>
  <c r="F360" i="6"/>
  <c r="E161" i="6" s="1"/>
  <c r="D142" i="6"/>
  <c r="C44" i="2"/>
  <c r="C26" i="6"/>
  <c r="C39" i="2"/>
  <c r="H202" i="6"/>
  <c r="F203" i="6"/>
  <c r="E30" i="2"/>
  <c r="F150" i="4"/>
  <c r="I109" i="6"/>
  <c r="J109" i="6" s="1"/>
  <c r="F88" i="6"/>
  <c r="F127" i="6"/>
  <c r="F28" i="6"/>
  <c r="F41" i="2" s="1"/>
  <c r="G149" i="4"/>
  <c r="G50" i="2" s="1"/>
  <c r="F17" i="2"/>
  <c r="F84" i="6"/>
  <c r="F72" i="6"/>
  <c r="I111" i="6"/>
  <c r="J111" i="6" s="1"/>
  <c r="F19" i="2"/>
  <c r="I110" i="6"/>
  <c r="J110" i="6" s="1"/>
  <c r="F71" i="6"/>
  <c r="J118" i="6"/>
  <c r="J120" i="6" s="1"/>
  <c r="B63" i="6" l="1"/>
  <c r="D54" i="6"/>
  <c r="D65" i="6"/>
  <c r="C65" i="6" s="1"/>
  <c r="E349" i="6"/>
  <c r="F161" i="6" s="1"/>
  <c r="C359" i="6"/>
  <c r="D359" i="6" s="1"/>
  <c r="E359" i="6"/>
  <c r="D325" i="6"/>
  <c r="E325" i="6" s="1"/>
  <c r="F325" i="6" s="1"/>
  <c r="G222" i="6"/>
  <c r="F359" i="6"/>
  <c r="D161" i="6" s="1"/>
  <c r="C35" i="5"/>
  <c r="D323" i="6"/>
  <c r="E323" i="6" s="1"/>
  <c r="F323" i="6" s="1"/>
  <c r="C18" i="5"/>
  <c r="D18" i="5" s="1"/>
  <c r="D326" i="6"/>
  <c r="E326" i="6" s="1"/>
  <c r="F326" i="6" s="1"/>
  <c r="M33" i="5"/>
  <c r="C267" i="6"/>
  <c r="E267" i="6" s="1"/>
  <c r="C272" i="6" s="1"/>
  <c r="C273" i="6" s="1"/>
  <c r="C275" i="6" s="1"/>
  <c r="L30" i="5"/>
  <c r="J30" i="5"/>
  <c r="F30" i="5"/>
  <c r="H30" i="5"/>
  <c r="D30" i="5"/>
  <c r="G33" i="5"/>
  <c r="D324" i="6"/>
  <c r="E324" i="6" s="1"/>
  <c r="F324" i="6" s="1"/>
  <c r="I33" i="5"/>
  <c r="L34" i="5"/>
  <c r="J34" i="5"/>
  <c r="H34" i="5"/>
  <c r="F34" i="5"/>
  <c r="D34" i="5"/>
  <c r="K33" i="5"/>
  <c r="E223" i="6"/>
  <c r="C366" i="6"/>
  <c r="H182" i="6"/>
  <c r="F183" i="6"/>
  <c r="F204" i="6"/>
  <c r="H203" i="6"/>
  <c r="C19" i="5"/>
  <c r="E183" i="6"/>
  <c r="C184" i="6"/>
  <c r="C36" i="6"/>
  <c r="C46" i="2" s="1"/>
  <c r="C40" i="2"/>
  <c r="F30" i="2"/>
  <c r="G150" i="4"/>
  <c r="E225" i="6"/>
  <c r="D289" i="6"/>
  <c r="E289" i="6"/>
  <c r="D253" i="6"/>
  <c r="E227" i="6"/>
  <c r="C27" i="6"/>
  <c r="C29" i="6" s="1"/>
  <c r="G349" i="6" l="1"/>
  <c r="G34" i="5"/>
  <c r="I30" i="5"/>
  <c r="J238" i="6" s="1"/>
  <c r="K238" i="6" s="1"/>
  <c r="M30" i="5"/>
  <c r="N238" i="6" s="1"/>
  <c r="O238" i="6" s="1"/>
  <c r="K34" i="5"/>
  <c r="C36" i="5"/>
  <c r="G30" i="5"/>
  <c r="H238" i="6" s="1"/>
  <c r="I238" i="6" s="1"/>
  <c r="K30" i="5"/>
  <c r="L238" i="6" s="1"/>
  <c r="M238" i="6" s="1"/>
  <c r="I34" i="5"/>
  <c r="M34" i="5"/>
  <c r="L35" i="5"/>
  <c r="H35" i="5"/>
  <c r="F35" i="5"/>
  <c r="D35" i="5"/>
  <c r="J35" i="5"/>
  <c r="E29" i="5"/>
  <c r="R238" i="6"/>
  <c r="S238" i="6" s="1"/>
  <c r="F238" i="6"/>
  <c r="G238" i="6" s="1"/>
  <c r="P238" i="6"/>
  <c r="Q238" i="6" s="1"/>
  <c r="D349" i="6"/>
  <c r="F349" i="6" s="1"/>
  <c r="E226" i="6"/>
  <c r="G9" i="2"/>
  <c r="C161" i="6"/>
  <c r="I161" i="6" s="1"/>
  <c r="D63" i="2"/>
  <c r="G8" i="2"/>
  <c r="G24" i="1" s="1"/>
  <c r="D64" i="2"/>
  <c r="H204" i="6"/>
  <c r="C291" i="6" s="1"/>
  <c r="E291" i="6" s="1"/>
  <c r="F205" i="6"/>
  <c r="H183" i="6"/>
  <c r="F184" i="6"/>
  <c r="C30" i="6"/>
  <c r="C31" i="6" s="1"/>
  <c r="D19" i="5"/>
  <c r="C20" i="5"/>
  <c r="D20" i="5" s="1"/>
  <c r="C185" i="6"/>
  <c r="E184" i="6"/>
  <c r="G35" i="5" l="1"/>
  <c r="F36" i="5"/>
  <c r="D36" i="5"/>
  <c r="H36" i="5"/>
  <c r="J36" i="5"/>
  <c r="L36" i="5"/>
  <c r="I35" i="5"/>
  <c r="M35" i="5"/>
  <c r="C31" i="5"/>
  <c r="C268" i="6" s="1"/>
  <c r="E268" i="6" s="1"/>
  <c r="K35" i="5"/>
  <c r="C37" i="5"/>
  <c r="D147" i="6"/>
  <c r="C32" i="6"/>
  <c r="C33" i="6" s="1"/>
  <c r="C35" i="6"/>
  <c r="C34" i="6"/>
  <c r="C45" i="2" s="1"/>
  <c r="C42" i="2"/>
  <c r="H205" i="6"/>
  <c r="F207" i="6" s="1"/>
  <c r="F208" i="6"/>
  <c r="E185" i="6"/>
  <c r="C186" i="6"/>
  <c r="H161" i="6"/>
  <c r="G161" i="6"/>
  <c r="F209" i="6"/>
  <c r="F185" i="6"/>
  <c r="H184" i="6"/>
  <c r="H31" i="5" l="1"/>
  <c r="F31" i="5"/>
  <c r="L37" i="5"/>
  <c r="J37" i="5"/>
  <c r="H37" i="5"/>
  <c r="F37" i="5"/>
  <c r="D37" i="5"/>
  <c r="E36" i="5" s="1"/>
  <c r="G36" i="5"/>
  <c r="L31" i="5"/>
  <c r="M36" i="5"/>
  <c r="D31" i="5"/>
  <c r="R239" i="6" s="1"/>
  <c r="S239" i="6" s="1"/>
  <c r="K36" i="5"/>
  <c r="I36" i="5"/>
  <c r="J31" i="5"/>
  <c r="P239" i="6"/>
  <c r="Q239" i="6" s="1"/>
  <c r="C187" i="6"/>
  <c r="E186" i="6"/>
  <c r="H185" i="6"/>
  <c r="F186" i="6"/>
  <c r="G31" i="5" l="1"/>
  <c r="H239" i="6" s="1"/>
  <c r="I239" i="6" s="1"/>
  <c r="I31" i="5"/>
  <c r="J239" i="6" s="1"/>
  <c r="K239" i="6" s="1"/>
  <c r="F239" i="6"/>
  <c r="G239" i="6" s="1"/>
  <c r="G240" i="6" s="1"/>
  <c r="D244" i="6" s="1"/>
  <c r="M31" i="5"/>
  <c r="N239" i="6" s="1"/>
  <c r="O239" i="6" s="1"/>
  <c r="K31" i="5"/>
  <c r="L239" i="6" s="1"/>
  <c r="M239" i="6" s="1"/>
  <c r="G37" i="5"/>
  <c r="I37" i="5"/>
  <c r="K37" i="5"/>
  <c r="M37" i="5"/>
  <c r="C188" i="6"/>
  <c r="E187" i="6"/>
  <c r="Q240" i="6"/>
  <c r="C248" i="6"/>
  <c r="C249" i="6"/>
  <c r="S240" i="6"/>
  <c r="H186" i="6"/>
  <c r="F187" i="6"/>
  <c r="D248" i="6" l="1"/>
  <c r="C247" i="6"/>
  <c r="O240" i="6"/>
  <c r="D247" i="6"/>
  <c r="D245" i="6"/>
  <c r="I240" i="6"/>
  <c r="C244" i="6"/>
  <c r="E244" i="6" s="1"/>
  <c r="F244" i="6" s="1"/>
  <c r="D246" i="6"/>
  <c r="D249" i="6"/>
  <c r="E249" i="6" s="1"/>
  <c r="F249" i="6" s="1"/>
  <c r="G249" i="6" s="1"/>
  <c r="C246" i="6"/>
  <c r="M240" i="6"/>
  <c r="K240" i="6"/>
  <c r="C245" i="6"/>
  <c r="E248" i="6"/>
  <c r="F248" i="6" s="1"/>
  <c r="G248" i="6" s="1"/>
  <c r="E188" i="6"/>
  <c r="C189" i="6"/>
  <c r="F188" i="6"/>
  <c r="H187" i="6"/>
  <c r="E245" i="6" l="1"/>
  <c r="F245" i="6" s="1"/>
  <c r="G245" i="6" s="1"/>
  <c r="E247" i="6"/>
  <c r="F247" i="6" s="1"/>
  <c r="G247" i="6" s="1"/>
  <c r="C253" i="6"/>
  <c r="E253" i="6" s="1"/>
  <c r="F253" i="6" s="1"/>
  <c r="G253" i="6" s="1"/>
  <c r="G244" i="6"/>
  <c r="E246" i="6"/>
  <c r="F246" i="6" s="1"/>
  <c r="G246" i="6" s="1"/>
  <c r="H188" i="6"/>
  <c r="F189" i="6"/>
  <c r="C190" i="6"/>
  <c r="E190" i="6" s="1"/>
  <c r="E189" i="6"/>
  <c r="H189" i="6" l="1"/>
  <c r="F190" i="6"/>
  <c r="H190" i="6" s="1"/>
  <c r="B24" i="1"/>
  <c r="C24" i="1"/>
  <c r="D24" i="1"/>
  <c r="E24" i="1"/>
  <c r="F24" i="1"/>
  <c r="B8" i="2"/>
  <c r="C8" i="2"/>
  <c r="D8" i="2"/>
  <c r="E8" i="2"/>
  <c r="F8" i="2"/>
  <c r="B9" i="2"/>
  <c r="C9" i="2"/>
  <c r="D9" i="2"/>
  <c r="E9" i="2"/>
  <c r="F9" i="2"/>
  <c r="D15" i="2"/>
  <c r="E15" i="2"/>
  <c r="F15" i="2"/>
  <c r="D21" i="2"/>
  <c r="E21" i="2"/>
  <c r="F21" i="2"/>
  <c r="D31" i="2"/>
  <c r="E31" i="2"/>
  <c r="F31" i="2"/>
  <c r="D32" i="2"/>
  <c r="E32" i="2"/>
  <c r="F32" i="2"/>
  <c r="D33" i="2"/>
  <c r="E33" i="2"/>
  <c r="F33" i="2"/>
  <c r="D37" i="2"/>
  <c r="E37" i="2"/>
  <c r="F37" i="2"/>
  <c r="D38" i="2"/>
  <c r="E38" i="2"/>
  <c r="F38" i="2"/>
  <c r="D39" i="2"/>
  <c r="E39" i="2"/>
  <c r="F39" i="2"/>
  <c r="D40" i="2"/>
  <c r="E40" i="2"/>
  <c r="F40" i="2"/>
  <c r="D42" i="2"/>
  <c r="E42" i="2"/>
  <c r="F42" i="2"/>
  <c r="D44" i="2"/>
  <c r="E44" i="2"/>
  <c r="F44" i="2"/>
  <c r="D45" i="2"/>
  <c r="E45" i="2"/>
  <c r="F45" i="2"/>
  <c r="D46" i="2"/>
  <c r="E46" i="2"/>
  <c r="F46" i="2"/>
  <c r="E51" i="2"/>
  <c r="F51" i="2"/>
  <c r="G51" i="2"/>
  <c r="D52" i="2"/>
  <c r="E52" i="2"/>
  <c r="F52" i="2"/>
  <c r="G52" i="2"/>
  <c r="E53" i="2"/>
  <c r="F53" i="2"/>
  <c r="G53" i="2"/>
  <c r="E57" i="2"/>
  <c r="F57" i="2"/>
  <c r="G57" i="2"/>
  <c r="E58" i="2"/>
  <c r="F58" i="2"/>
  <c r="G58" i="2"/>
  <c r="D59" i="2"/>
  <c r="E59" i="2"/>
  <c r="F59" i="2"/>
  <c r="G59" i="2"/>
  <c r="E60" i="2"/>
  <c r="F60" i="2"/>
  <c r="G60" i="2"/>
  <c r="C69" i="2"/>
  <c r="D69" i="2"/>
  <c r="E69" i="2"/>
  <c r="F69" i="2"/>
  <c r="C70" i="2"/>
  <c r="D70" i="2"/>
  <c r="E70" i="2"/>
  <c r="F70" i="2"/>
  <c r="C71" i="2"/>
  <c r="D71" i="2"/>
  <c r="E71" i="2"/>
  <c r="F71" i="2"/>
  <c r="C72" i="2"/>
  <c r="D72" i="2"/>
  <c r="E72" i="2"/>
  <c r="F72" i="2"/>
  <c r="E126" i="4"/>
  <c r="F126" i="4"/>
  <c r="G126" i="4"/>
  <c r="E132" i="4"/>
  <c r="F132" i="4"/>
  <c r="G132" i="4"/>
  <c r="E145" i="4"/>
  <c r="F145" i="4"/>
  <c r="G145" i="4"/>
  <c r="E146" i="4"/>
  <c r="F146" i="4"/>
  <c r="G146" i="4"/>
  <c r="E147" i="4"/>
  <c r="F147" i="4"/>
  <c r="G147" i="4"/>
  <c r="E151" i="4"/>
  <c r="F151" i="4"/>
  <c r="G151" i="4"/>
  <c r="C195" i="4"/>
  <c r="C196" i="4"/>
  <c r="C197" i="4"/>
  <c r="C198" i="4"/>
  <c r="C200" i="4"/>
  <c r="C201" i="4"/>
  <c r="C202" i="4"/>
  <c r="C203" i="4"/>
  <c r="C215" i="4"/>
  <c r="C216" i="4"/>
  <c r="C217" i="4"/>
  <c r="C218" i="4"/>
  <c r="C221" i="4"/>
  <c r="C222" i="4"/>
  <c r="C223" i="4"/>
  <c r="C224" i="4"/>
  <c r="C226" i="4"/>
  <c r="C227" i="4"/>
  <c r="C228" i="4"/>
  <c r="C229" i="4"/>
  <c r="C251" i="4"/>
  <c r="C252" i="4"/>
  <c r="C253" i="4"/>
  <c r="C254" i="4"/>
  <c r="D23" i="6"/>
  <c r="E23" i="6"/>
  <c r="F23" i="6"/>
  <c r="D24" i="6"/>
  <c r="E24" i="6"/>
  <c r="F24" i="6"/>
  <c r="D25" i="6"/>
  <c r="E25" i="6"/>
  <c r="F25" i="6"/>
  <c r="D26" i="6"/>
  <c r="E26" i="6"/>
  <c r="F26" i="6"/>
  <c r="D27" i="6"/>
  <c r="E27" i="6"/>
  <c r="F27" i="6"/>
  <c r="D29" i="6"/>
  <c r="E29" i="6"/>
  <c r="F29" i="6"/>
  <c r="D30" i="6"/>
  <c r="E30" i="6"/>
  <c r="F30" i="6"/>
  <c r="D31" i="6"/>
  <c r="E31" i="6"/>
  <c r="F31" i="6"/>
  <c r="D32" i="6"/>
  <c r="E32" i="6"/>
  <c r="F32" i="6"/>
  <c r="D33" i="6"/>
  <c r="E33" i="6"/>
  <c r="F33" i="6"/>
  <c r="D34" i="6"/>
  <c r="E34" i="6"/>
  <c r="F34" i="6"/>
  <c r="D35" i="6"/>
  <c r="E35" i="6"/>
  <c r="F35" i="6"/>
  <c r="D36" i="6"/>
  <c r="E36" i="6"/>
  <c r="F36" i="6"/>
  <c r="D70" i="6"/>
  <c r="E70" i="6"/>
  <c r="F70" i="6"/>
  <c r="D74" i="6"/>
  <c r="E74" i="6"/>
  <c r="F74" i="6"/>
  <c r="D83" i="6"/>
  <c r="E83" i="6"/>
  <c r="F83" i="6"/>
  <c r="D85" i="6"/>
  <c r="E85" i="6"/>
  <c r="F85" i="6"/>
  <c r="C89" i="6"/>
  <c r="D89" i="6"/>
  <c r="E89" i="6"/>
  <c r="F89" i="6"/>
  <c r="C90" i="6"/>
  <c r="D90" i="6"/>
  <c r="E90" i="6"/>
  <c r="F90" i="6"/>
  <c r="C91" i="6"/>
  <c r="D91" i="6"/>
  <c r="E91" i="6"/>
  <c r="F91" i="6"/>
  <c r="C92" i="6"/>
  <c r="D92" i="6"/>
  <c r="E92" i="6"/>
  <c r="F92" i="6"/>
  <c r="C93" i="6"/>
  <c r="D93" i="6"/>
  <c r="E93" i="6"/>
  <c r="F93" i="6"/>
  <c r="E98" i="6"/>
  <c r="F98" i="6"/>
  <c r="G98" i="6"/>
  <c r="H98" i="6"/>
  <c r="I98" i="6"/>
  <c r="J98" i="6"/>
  <c r="F106" i="6"/>
  <c r="H106" i="6"/>
  <c r="J106" i="6"/>
  <c r="E114" i="6"/>
  <c r="F114" i="6"/>
  <c r="G114" i="6"/>
  <c r="H114" i="6"/>
  <c r="I114" i="6"/>
  <c r="J114" i="6"/>
  <c r="F121" i="6"/>
  <c r="H121" i="6"/>
  <c r="J121" i="6"/>
  <c r="F122" i="6"/>
  <c r="H122" i="6"/>
  <c r="J122" i="6"/>
  <c r="D128" i="6"/>
  <c r="E128" i="6"/>
  <c r="F128" i="6"/>
  <c r="D129" i="6"/>
  <c r="E129" i="6"/>
  <c r="F129" i="6"/>
  <c r="D130" i="6"/>
  <c r="E130" i="6"/>
  <c r="F130" i="6"/>
  <c r="E135" i="6"/>
  <c r="F135" i="6"/>
  <c r="G135" i="6"/>
  <c r="E136" i="6"/>
  <c r="F136" i="6"/>
  <c r="G136" i="6"/>
  <c r="E137" i="6"/>
  <c r="F137" i="6"/>
  <c r="G137" i="6"/>
  <c r="E142" i="6"/>
  <c r="F142" i="6"/>
  <c r="G142" i="6"/>
  <c r="E143" i="6"/>
  <c r="F143" i="6"/>
  <c r="G143" i="6"/>
  <c r="E144" i="6"/>
  <c r="F144" i="6"/>
  <c r="G144" i="6"/>
  <c r="D145" i="6"/>
  <c r="E145" i="6"/>
  <c r="F145" i="6"/>
  <c r="G145" i="6"/>
  <c r="E146" i="6"/>
  <c r="F146" i="6"/>
  <c r="G146" i="6"/>
  <c r="E147" i="6"/>
  <c r="F147" i="6"/>
  <c r="G147" i="6"/>
  <c r="C154" i="6"/>
  <c r="D154" i="6"/>
  <c r="E154" i="6"/>
  <c r="F154" i="6"/>
  <c r="G154" i="6"/>
  <c r="H154" i="6"/>
  <c r="I154" i="6"/>
  <c r="C155" i="6"/>
  <c r="D155" i="6"/>
  <c r="E155" i="6"/>
  <c r="F155" i="6"/>
  <c r="G155" i="6"/>
  <c r="H155" i="6"/>
  <c r="I155" i="6"/>
  <c r="C158" i="6"/>
  <c r="D158" i="6"/>
  <c r="E158" i="6"/>
  <c r="F158" i="6"/>
  <c r="G158" i="6"/>
  <c r="H158" i="6"/>
  <c r="I158" i="6"/>
  <c r="C159" i="6"/>
  <c r="D159" i="6"/>
  <c r="E159" i="6"/>
  <c r="F159" i="6"/>
  <c r="G159" i="6"/>
  <c r="H159" i="6"/>
  <c r="I159" i="6"/>
  <c r="C160" i="6"/>
  <c r="D160" i="6"/>
  <c r="E160" i="6"/>
  <c r="F160" i="6"/>
  <c r="G160" i="6"/>
  <c r="H160" i="6"/>
  <c r="I160" i="6"/>
  <c r="C162" i="6"/>
  <c r="D162" i="6"/>
  <c r="E162" i="6"/>
  <c r="F162" i="6"/>
  <c r="G162" i="6"/>
  <c r="H162" i="6"/>
  <c r="I162" i="6"/>
  <c r="B165" i="6"/>
  <c r="C166" i="6"/>
  <c r="D166" i="6"/>
  <c r="E166" i="6"/>
  <c r="F166" i="6"/>
  <c r="G166" i="6"/>
  <c r="H166" i="6"/>
  <c r="I166" i="6"/>
  <c r="C167" i="6"/>
  <c r="D167" i="6"/>
  <c r="E167" i="6"/>
  <c r="F167" i="6"/>
  <c r="G167" i="6"/>
  <c r="H167" i="6"/>
  <c r="I167" i="6"/>
  <c r="C168" i="6"/>
  <c r="D168" i="6"/>
  <c r="E168" i="6"/>
  <c r="F168" i="6"/>
  <c r="G168" i="6"/>
  <c r="H168" i="6"/>
  <c r="I168" i="6"/>
  <c r="C169" i="6"/>
  <c r="D169" i="6"/>
  <c r="E169" i="6"/>
  <c r="F169" i="6"/>
  <c r="G169" i="6"/>
  <c r="H169" i="6"/>
  <c r="I169" i="6"/>
  <c r="C170" i="6"/>
  <c r="D170" i="6"/>
  <c r="E170" i="6"/>
  <c r="F170" i="6"/>
  <c r="G170" i="6"/>
  <c r="H170" i="6"/>
  <c r="I170" i="6"/>
  <c r="C171" i="6"/>
  <c r="D171" i="6"/>
  <c r="E171" i="6"/>
  <c r="F171" i="6"/>
  <c r="G171" i="6"/>
  <c r="H171" i="6"/>
  <c r="I171" i="6"/>
  <c r="C172" i="6"/>
  <c r="D172" i="6"/>
  <c r="E172" i="6"/>
  <c r="F172" i="6"/>
  <c r="G172" i="6"/>
  <c r="H172" i="6"/>
  <c r="I172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J191" i="6"/>
  <c r="J192" i="6"/>
  <c r="J193" i="6"/>
  <c r="C290" i="6"/>
  <c r="D290" i="6"/>
  <c r="E290" i="6"/>
  <c r="D344" i="6"/>
  <c r="E344" i="6"/>
  <c r="F344" i="6"/>
  <c r="G344" i="6"/>
  <c r="D345" i="6"/>
  <c r="E345" i="6"/>
  <c r="F345" i="6"/>
  <c r="G345" i="6"/>
  <c r="D346" i="6"/>
  <c r="E346" i="6"/>
  <c r="F346" i="6"/>
  <c r="G346" i="6"/>
  <c r="D347" i="6"/>
  <c r="E347" i="6"/>
  <c r="F347" i="6"/>
  <c r="G347" i="6"/>
  <c r="D348" i="6"/>
  <c r="E348" i="6"/>
  <c r="F348" i="6"/>
  <c r="G3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27" authorId="0" shapeId="0" xr:uid="{00000000-0006-0000-0300-000002000000}">
      <text>
        <r>
          <rPr>
            <sz val="10"/>
            <rFont val="Arial"/>
            <family val="2"/>
          </rPr>
          <t>hossam el tarrass:
Scenario-driven trading book growth: 0%/+2%/-2%/-5% per Base/Hike/Cut/Stress.</t>
        </r>
      </text>
    </comment>
    <comment ref="E145" authorId="0" shapeId="0" xr:uid="{00000000-0006-0000-0300-000003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F145" authorId="0" shapeId="0" xr:uid="{00000000-0006-0000-0300-000004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G145" authorId="0" shapeId="0" xr:uid="{00000000-0006-0000-0300-000005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C155" authorId="0" shapeId="0" xr:uid="{00000000-0006-0000-0300-000001000000}">
      <text>
        <r>
          <rPr>
            <sz val="10"/>
            <rFont val="Arial"/>
            <family val="2"/>
          </rPr>
          <t>hossam el tarrass:
Trading book held flat per BNP strategic guidance — override here for stress.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ALM Model - Senior Analyst</author>
  </authors>
  <commentList>
    <comment ref="D40" authorId="0" shapeId="0" xr:uid="{00000000-0006-0000-0500-000004000000}">
      <text>
        <r>
          <rPr>
            <sz val="10"/>
            <rFont val="Arial"/>
            <family val="2"/>
          </rPr>
          <t>hossam el tarrass:
Deposit beta is now scenario-driven: 40%/50%/30%/60% per Base/Hike/Cut/Stress per Engine!F10:F13.</t>
        </r>
      </text>
    </comment>
    <comment ref="C52" authorId="0" shapeId="0" xr:uid="{00000000-0006-0000-0500-000001000000}">
      <text>
        <r>
          <rPr>
            <sz val="10"/>
            <rFont val="Arial"/>
            <family val="2"/>
          </rPr>
          <t>Includes repo + IB + non-core deposits (30%) + 20% of bonds issued (FRN/maturing tranches) + 10% of sub debt (AT1 coupon resets). Per EBA/GL/2022/14.</t>
        </r>
      </text>
    </comment>
    <comment ref="C55" authorId="0" shapeId="0" xr:uid="{00000000-0006-0000-0500-000002000000}">
      <text>
        <r>
          <rPr>
            <sz val="10"/>
            <rFont val="Arial"/>
            <family val="2"/>
          </rPr>
          <t>NII view uses direct gap × shock, not PVBP.</t>
        </r>
      </text>
    </comment>
    <comment ref="D55" authorId="0" shapeId="0" xr:uid="{00000000-0006-0000-0500-000005000000}">
      <text>
        <r>
          <rPr>
            <sz val="10"/>
            <rFont val="Arial"/>
            <family val="2"/>
          </rPr>
          <t>PVBP = Σ(gap_bucket × midpoint_duration). Units: €m-years. EVE impact = PVBP × shock_bps / 10000. Weights: ON=0.003y, 0-3M=0.125y, 3-6M=0.375y, 6-12M=0.75y, 1-2Y=1.5y, 2-5Y=3.5y, 5Y+=7.0y. NMD deposits flow through Section 3 bucketing (Engine C37-C40).</t>
        </r>
      </text>
    </comment>
    <comment ref="C58" authorId="0" shapeId="0" xr:uid="{00000000-0006-0000-0500-000003000000}">
      <text>
        <r>
          <rPr>
            <sz val="10"/>
            <rFont val="Arial"/>
            <family val="2"/>
          </rPr>
          <t>Reduced by 15% vs upward shock per EBA/GL/2022/14 Annex III post-shock rate floor at 0%.</t>
        </r>
      </text>
    </comment>
    <comment ref="D58" authorId="0" shapeId="0" xr:uid="{00000000-0006-0000-0500-000006000000}">
      <text>
        <r>
          <rPr>
            <sz val="10"/>
            <rFont val="Arial"/>
            <family val="2"/>
          </rPr>
          <t>15% reduction vs upward shock per EBA/GL/2022/14 Annex III post-shock interest rate floor at 0%. At ECB DFR 2.5%, deposit rates floor near 0% on downward shock, creating asymmetry.</t>
        </r>
      </text>
    </comment>
    <comment ref="D59" authorId="0" shapeId="0" xr:uid="{00000000-0006-0000-0500-000007000000}">
      <text>
        <r>
          <rPr>
            <sz val="10"/>
            <rFont val="Arial"/>
            <family val="2"/>
          </rPr>
          <t>Steepener: long-end gaps gain duration-weighted exposure, short-end loses. Long buckets (1-2Y,2-5Y,5Y+) net against short buckets (ON,0-3M,3-6M,6-12M).</t>
        </r>
      </text>
    </comment>
    <comment ref="D62" authorId="0" shapeId="0" xr:uid="{00000000-0006-0000-0500-000008000000}">
      <text>
        <r>
          <rPr>
            <sz val="10"/>
            <rFont val="Arial"/>
            <family val="2"/>
          </rPr>
          <t>Short Rate Down with 15% floor reduction per EBA/GL/2022/14 Annex III.</t>
        </r>
      </text>
    </comment>
    <comment ref="D65" authorId="0" shapeId="0" xr:uid="{00000000-0006-0000-0500-000009000000}">
      <text>
        <r>
          <rPr>
            <sz val="10"/>
            <rFont val="Arial"/>
            <family val="2"/>
          </rPr>
          <t>Array formula: identifies worst-case EVE shock scenario per EBA/GL/2022/14 para 114. In older Excel, confirm with Ctrl+Shift+Enter.</t>
        </r>
      </text>
    </comment>
    <comment ref="D93" authorId="0" shapeId="0" xr:uid="{00000000-0006-0000-0500-00000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2026F LCR dip (159%→122%) driven by full 30-day outflow stress on growing deposit base with no inflow offset in D97. Inflow formula in D97=0 — verify and complete the 2026F inflow formula to match the C97 structure. If intentional as a conservative stress, document here.</t>
        </r>
      </text>
    </comment>
    <comment ref="D106" authorId="0" shapeId="0" xr:uid="{00000000-0006-0000-05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ASF total = sum of post-factor amounts only. Gross balances in adjacent columns are reference only.</t>
        </r>
      </text>
    </comment>
    <comment ref="D161" authorId="1" shapeId="0" xr:uid="{00000000-0006-0000-0500-00000C000000}">
      <text>
        <r>
          <rPr>
            <sz val="10"/>
            <rFont val="Arial"/>
            <family val="2"/>
          </rPr>
          <t>ALM NOTE — EVE/Tier1 Rate Hike = Base (by design):
Both Rate Hike and Base use the same |PVBP x 200bps| shock magnitude.
EVE/Tier1 (Rate Hike) = |PVBP x 200bps x (1 - hedge ratio 55%)| / Tier 1
                      = same as Base EVE/Tier1 formula.
Delta EVE/Tier1 (Hike vs Base) = 0. CORRECT under EBA PVBP methodology.
Scenario differentiation is captured in NII sensitivity (rows 155-163),
not in EVE. EVE is a balance-sheet PV measure insensitive to direction
when absolute shock size is equal.
Source: EBA/GL/2022/14 Annex II - PVBP / Duration-weighted EVE methodology.</t>
        </r>
      </text>
    </comment>
    <comment ref="J186" authorId="0" shapeId="0" xr:uid="{00000000-0006-0000-0500-00000E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Gap = annual P&amp;L NII minus monthly granular NII. Excludes IB interest (€814m) and accrual timing. Not an error.</t>
        </r>
      </text>
    </comment>
    <comment ref="E346" authorId="1" shapeId="0" xr:uid="{00000000-0006-0000-0500-00000D000000}">
      <text>
        <r>
          <rPr>
            <sz val="10"/>
            <rFont val="Arial"/>
            <family val="2"/>
          </rPr>
          <t>ALM NOTE - CET1 may improve under stress (balance sheet deleveraging):
Under severe stress, loan growth = -5% =&gt; loan book contracts =&gt; RWA shrinks.
Equity (CET1 numerator) declines less in absolute terms than RWA, because
the retained earnings impairment is capped by after-tax net income impact.
Result: CET1 = CET1 Capital / RWA can RISE when RWA contracts faster than equity.
Classic Basel III balance sheet deleveraging effect per CRR Art. 92.
Empirically consistent with EBA 2023/2025 stress test results.
Counter-intuitive but technically correct under ICAAP framework.</t>
        </r>
      </text>
    </comment>
  </commentList>
</comments>
</file>

<file path=xl/sharedStrings.xml><?xml version="1.0" encoding="utf-8"?>
<sst xmlns="http://schemas.openxmlformats.org/spreadsheetml/2006/main" count="1046" uniqueCount="821">
  <si>
    <t>MAJOR EUROPEAN G-SIB — ALM MASTER MODEL</t>
  </si>
  <si>
    <t>Asset-Liability Management | Full-Cycle ALM Engine</t>
  </si>
  <si>
    <t>Calibrated to Q4 2025 Actuals | Basel III / CRR2 / EBA/GL/2022/14</t>
  </si>
  <si>
    <t>MODEL OVERVIEW</t>
  </si>
  <si>
    <t>Institution</t>
  </si>
  <si>
    <t>Reporting Currency</t>
  </si>
  <si>
    <t>Base Year</t>
  </si>
  <si>
    <t>Forecast Horizon</t>
  </si>
  <si>
    <t>Regulatory Framework</t>
  </si>
  <si>
    <t>Scenarios</t>
  </si>
  <si>
    <t>Base  |  Rate Hike  |  Rate Cut  |  Stress</t>
  </si>
  <si>
    <t>Model Version</t>
  </si>
  <si>
    <t>ARCHITECTURE</t>
  </si>
  <si>
    <t>Sheet</t>
  </si>
  <si>
    <t>Role</t>
  </si>
  <si>
    <t>Dashboard</t>
  </si>
  <si>
    <t>Executive ALCO view — scenario selector, KPI cards, NII waterfall, EVE sensitivity</t>
  </si>
  <si>
    <t>Engine</t>
  </si>
  <si>
    <t>Central control layer — rate curve, scenario inputs, CHOOSE-based propagation</t>
  </si>
  <si>
    <t>Model</t>
  </si>
  <si>
    <t>Full analytical engine — 18 modular sections, 1,000+ formulas</t>
  </si>
  <si>
    <t>Master Balance Sheet</t>
  </si>
  <si>
    <t>Source-of-truth balance sheet — actuals + three forecast years</t>
  </si>
  <si>
    <t>KEY METRICS SNAPSHOT (Base Scenario — 2026F)</t>
  </si>
  <si>
    <t>NII (€bn)</t>
  </si>
  <si>
    <t>NIM</t>
  </si>
  <si>
    <t>CET1</t>
  </si>
  <si>
    <t>LCR</t>
  </si>
  <si>
    <t>NSFR</t>
  </si>
  <si>
    <t>EVE/Tier 1</t>
  </si>
  <si>
    <t>AUTHOR</t>
  </si>
  <si>
    <t>Name</t>
  </si>
  <si>
    <t>LinkedIn</t>
  </si>
  <si>
    <t>linkedin.com/in/hossameltarrass</t>
  </si>
  <si>
    <t>GitHub</t>
  </si>
  <si>
    <t>github.com/hossam-eltarrass</t>
  </si>
  <si>
    <t>Last Updated</t>
  </si>
  <si>
    <t>DATA SOURCE &amp; DISCLAIMER</t>
  </si>
  <si>
    <t>Balance sheet actuals calibrated to Q4 2025 public disclosures of a major European G-SIB (publicly available Pillar 3 report). No proprietary data used.</t>
  </si>
  <si>
    <t>Model built to bank-level standard for portfolio purposes. All regulatory references are to publicly available EBA guidelines and EU regulations.</t>
  </si>
  <si>
    <t>▸ ACTIVE SCENARIO</t>
  </si>
  <si>
    <t>Base</t>
  </si>
  <si>
    <t>Forecast: 2026F–2028F | Basel III / CRR2 / Del. Reg. (EU) 2022/786 / EBA/GL/2022/14</t>
  </si>
  <si>
    <t>CET1 Ratio</t>
  </si>
  <si>
    <t>EVE / Tier 1</t>
  </si>
  <si>
    <t>min 13.5%</t>
  </si>
  <si>
    <t>min 100%</t>
  </si>
  <si>
    <t>min 1.00x</t>
  </si>
  <si>
    <t>outlier &gt;15%</t>
  </si>
  <si>
    <t>BALANCE SHEET FORECAST (EUR millions)</t>
  </si>
  <si>
    <t>2025A</t>
  </si>
  <si>
    <t>2026F</t>
  </si>
  <si>
    <t>2027F</t>
  </si>
  <si>
    <t>2028F</t>
  </si>
  <si>
    <t>ASSETS</t>
  </si>
  <si>
    <t>Cash &amp; CB reserves</t>
  </si>
  <si>
    <t>Trading assets</t>
  </si>
  <si>
    <t>Loans to customers</t>
  </si>
  <si>
    <t>Interbank loans</t>
  </si>
  <si>
    <t>Securities</t>
  </si>
  <si>
    <t>Other assets</t>
  </si>
  <si>
    <t>TOTAL ASSETS</t>
  </si>
  <si>
    <t>LIABILITIES &amp; EQUITY</t>
  </si>
  <si>
    <t>Customer deposits</t>
  </si>
  <si>
    <t>Interbank funding</t>
  </si>
  <si>
    <t>Repo funding</t>
  </si>
  <si>
    <t>Bonds issued</t>
  </si>
  <si>
    <t>Subordinated debt</t>
  </si>
  <si>
    <t>Other liabilities</t>
  </si>
  <si>
    <t>TOTAL LIABILITIES</t>
  </si>
  <si>
    <t>Equity</t>
  </si>
  <si>
    <t>TOTAL LIABILITIES + EQUITY</t>
  </si>
  <si>
    <t>Balance sheet check</t>
  </si>
  <si>
    <t>PROFITABILITY (EUR millions)</t>
  </si>
  <si>
    <t>Net Interest Income</t>
  </si>
  <si>
    <t>Fee income</t>
  </si>
  <si>
    <t>Total Revenue</t>
  </si>
  <si>
    <t>Operating Expenses</t>
  </si>
  <si>
    <t>Provisions / CoR</t>
  </si>
  <si>
    <t>Net Income</t>
  </si>
  <si>
    <t>ROE</t>
  </si>
  <si>
    <t>Cost-to-Income</t>
  </si>
  <si>
    <t>FUNDING &amp; LIQUIDITY</t>
  </si>
  <si>
    <t>Threshold</t>
  </si>
  <si>
    <t>Loan-to-deposit ratio</t>
  </si>
  <si>
    <t>—</t>
  </si>
  <si>
    <t>Stable funding / total</t>
  </si>
  <si>
    <t>≥ 100%</t>
  </si>
  <si>
    <t>≥ 1.00x</t>
  </si>
  <si>
    <t>RISK &amp; REGULATORY</t>
  </si>
  <si>
    <t>CET1 ratio</t>
  </si>
  <si>
    <t>≥ 13.5%</t>
  </si>
  <si>
    <t>Leverage ratio</t>
  </si>
  <si>
    <t>≥ 3.0%</t>
  </si>
  <si>
    <t>IRRBB — Interest Rate Risk</t>
  </si>
  <si>
    <t>EVE / Tier 1 capital</t>
  </si>
  <si>
    <t>Outlier status (&gt;15% = breach)</t>
  </si>
  <si>
    <t>NII sensitivity (+200bps / NII)</t>
  </si>
  <si>
    <t>SCENARIO COMPARISON — 2026F</t>
  </si>
  <si>
    <t>Rate Hike</t>
  </si>
  <si>
    <t>Rate Cut</t>
  </si>
  <si>
    <t>Stress</t>
  </si>
  <si>
    <t>Net Income (€bn)</t>
  </si>
  <si>
    <t>CET1 (scenario)</t>
  </si>
  <si>
    <t>Min. 13.5%</t>
  </si>
  <si>
    <t>MAJOR EUROPEAN G-SIB — ALM Master Model | Master Balance Sheet | EUR millions</t>
  </si>
  <si>
    <t>Line Item</t>
  </si>
  <si>
    <t>2024A</t>
  </si>
  <si>
    <t>Cash and balances at central banks</t>
  </si>
  <si>
    <t>Financial instruments FVTPL — trading</t>
  </si>
  <si>
    <t>Financial instruments FVTPL — non-trading</t>
  </si>
  <si>
    <t>Financial instruments FVTPL — designated</t>
  </si>
  <si>
    <t>Derivatives used for hedging purposes (asset)</t>
  </si>
  <si>
    <t>Financial assets FVOCI — Equity instruments WARNING: NOT HQLA — use MBS row 10 NOT row 9</t>
  </si>
  <si>
    <t>Financial assets FVOCI — Debt instruments ✓ HQLA eligible</t>
  </si>
  <si>
    <t>Financial assets amortised cost — Loans to credit institutions</t>
  </si>
  <si>
    <t>Financial assets amortised cost — Loans to customers</t>
  </si>
  <si>
    <t>Financial assets amortised cost — Debt securities ✓ HQLA eligible</t>
  </si>
  <si>
    <t>Remeasurement adjustment on interest-rate risk hedges</t>
  </si>
  <si>
    <t>Insurance investment assets WARNING: 100% RSF per CRR Art.428ab</t>
  </si>
  <si>
    <t>Current and deferred tax assets</t>
  </si>
  <si>
    <t>Accrued income and other assets</t>
  </si>
  <si>
    <t>Equity method investments</t>
  </si>
  <si>
    <t>Property, plant and equipment</t>
  </si>
  <si>
    <t>Intangible assets</t>
  </si>
  <si>
    <t>Goodwill</t>
  </si>
  <si>
    <t>Assets held for sale</t>
  </si>
  <si>
    <t>LIABILITIES</t>
  </si>
  <si>
    <t>Deposits from central banks</t>
  </si>
  <si>
    <t>Financial liabilities FVTPL — trading</t>
  </si>
  <si>
    <t>Financial liabilities FVTPL — repo / structured</t>
  </si>
  <si>
    <t>Financial liabilities FVTPL — other trading</t>
  </si>
  <si>
    <t>Financial liabilities FVTPL — designated</t>
  </si>
  <si>
    <t>Derivatives used for hedging purposes (liability) WARNING: EXCLUDE from IRRBB</t>
  </si>
  <si>
    <t>Financial liabilities AC — Deposits from credit institutions</t>
  </si>
  <si>
    <t>Financial liabilities AC — Customer deposits</t>
  </si>
  <si>
    <t>Financial liabilities AC — Debt securities issued</t>
  </si>
  <si>
    <t>Financial liabilities AC — Subordinated debt</t>
  </si>
  <si>
    <t>Current and deferred tax liabilities</t>
  </si>
  <si>
    <t>Insurance contract liabilities</t>
  </si>
  <si>
    <t>Financial liabilities — insurance activities</t>
  </si>
  <si>
    <t>Provisions for contingencies and charges</t>
  </si>
  <si>
    <t>Liabilities associated with assets held for sale</t>
  </si>
  <si>
    <t>EQUITY</t>
  </si>
  <si>
    <t>Share capital, paid-in capital and retained earnings</t>
  </si>
  <si>
    <t>Net income attributable to shareholders</t>
  </si>
  <si>
    <t>Total capital, retained earnings and net income</t>
  </si>
  <si>
    <t>Changes recognised in equity (AOCI)</t>
  </si>
  <si>
    <t>Shareholders equity</t>
  </si>
  <si>
    <t>Minority interests</t>
  </si>
  <si>
    <t>TOTAL EQUITY</t>
  </si>
  <si>
    <t>TOTAL LIABILITIES AND EQUITY</t>
  </si>
  <si>
    <t>KEY: Red = excluded from HQLA or special regulatory treatment | Green = HQLA eligible | All figures in EUR millions</t>
  </si>
  <si>
    <t>MAJOR EUROPEAN G-SIB — ALM Engine | Assumptions &amp; Balance Sheet Forecast</t>
  </si>
  <si>
    <t>SECTION A1 — SCENARIO CONTROL</t>
  </si>
  <si>
    <t>Scenario ID (linked from Dashboard — do NOT edit here)</t>
  </si>
  <si>
    <t>Rate Shock</t>
  </si>
  <si>
    <t>Loan Growth</t>
  </si>
  <si>
    <t>Dep Growth</t>
  </si>
  <si>
    <t>Dep Beta</t>
  </si>
  <si>
    <t>CoR bps</t>
  </si>
  <si>
    <t>CIR</t>
  </si>
  <si>
    <t>Trading Gth</t>
  </si>
  <si>
    <t>IB Loan Gth</t>
  </si>
  <si>
    <t>Repo Gth</t>
  </si>
  <si>
    <t>1 — Base</t>
  </si>
  <si>
    <t>2 — Rate Hike</t>
  </si>
  <si>
    <t>3 — Rate Cut</t>
  </si>
  <si>
    <t>4 — Stress</t>
  </si>
  <si>
    <t>SECTION A2 — MARKET RATE ENVIRONMENT | ECB / Bloomberg</t>
  </si>
  <si>
    <t>Parameter</t>
  </si>
  <si>
    <t>Source</t>
  </si>
  <si>
    <t>ECB Policy Rate (DFR)</t>
  </si>
  <si>
    <t>ECB press conf. 2025A=2.50% reached Sep-25</t>
  </si>
  <si>
    <t>3M Euribor</t>
  </si>
  <si>
    <t>EMMI fixing avg. DFR+~10bps.</t>
  </si>
  <si>
    <t>5Y Swap Rate</t>
  </si>
  <si>
    <t>Bloomberg EUR swap</t>
  </si>
  <si>
    <t>10Y Swap Rate</t>
  </si>
  <si>
    <t>Δ ECB (formula)</t>
  </si>
  <si>
    <t>Δ Euribor (formula)</t>
  </si>
  <si>
    <t>SECTION A3 — SPREAD ASSUMPTIONS</t>
  </si>
  <si>
    <t>Spread Parameter</t>
  </si>
  <si>
    <t>Loan spread over 3M Euribor</t>
  </si>
  <si>
    <t>G-SIB loan yield minus Euribor avg</t>
  </si>
  <si>
    <t>Loan repricing beta</t>
  </si>
  <si>
    <t>80% floating rate book</t>
  </si>
  <si>
    <t>Deposit spread below ECB</t>
  </si>
  <si>
    <t>ECB minus ~200bps historically</t>
  </si>
  <si>
    <t>Bond portfolio yield spread</t>
  </si>
  <si>
    <t>G-SIB FVOCI/AC over 10Y swap</t>
  </si>
  <si>
    <t>Interbank spread over Euribor</t>
  </si>
  <si>
    <t>Money market unsecured</t>
  </si>
  <si>
    <t>Repo spread below ECB DFR</t>
  </si>
  <si>
    <t>ECB DFR minus ESTR ~8.5bps</t>
  </si>
  <si>
    <t>SU bond issuance spread over 10Y</t>
  </si>
  <si>
    <t>G-SIB SU credit spread ~65bps</t>
  </si>
  <si>
    <t>Sub debt blended cost (AT1+T2)</t>
  </si>
  <si>
    <t>Blended AT1+T2 G-SIB Pillar 3</t>
  </si>
  <si>
    <t>SECTION A4 — BEHAVIOURAL PARAMETERS | EBA/GL/2022/14</t>
  </si>
  <si>
    <t>Value</t>
  </si>
  <si>
    <t>Regulatory Basis</t>
  </si>
  <si>
    <t>Retail deposit behavioural duration (yrs)</t>
  </si>
  <si>
    <t>EBA/GL/2022/14 Table 2: 2-3Y effective duration</t>
  </si>
  <si>
    <t>Corporate deposit behavioural duration (yrs)</t>
  </si>
  <si>
    <t>Basel IRRBB 2016 para 114: 1Y cap</t>
  </si>
  <si>
    <t>NMD core % (stable)</t>
  </si>
  <si>
    <t>BCBS IRRBB 2016 para 114: up to 90%, use 70%</t>
  </si>
  <si>
    <t>Residual = 100% minus core</t>
  </si>
  <si>
    <t>Securities: Gov bond % of portfolio</t>
  </si>
  <si>
    <t>G-SIB 2025 HQLA ~72% sovereign</t>
  </si>
  <si>
    <t>Securities: Corp bond % of portfolio</t>
  </si>
  <si>
    <t>Residual. Level 2A HQLA.</t>
  </si>
  <si>
    <t>Fee income ratio (% total assets)</t>
  </si>
  <si>
    <t>G-SIB 2025 fees+commissions/total assets</t>
  </si>
  <si>
    <t>Dividend payout ratio</t>
  </si>
  <si>
    <t>G-SIB stated policy: 60% payout</t>
  </si>
  <si>
    <t>SECTION A5 — IRRBB SHOCK PARAMETERS | EBA/GL/2022/14 ANNEX I</t>
  </si>
  <si>
    <t>Shock Scenario</t>
  </si>
  <si>
    <t>Shock</t>
  </si>
  <si>
    <t>Type</t>
  </si>
  <si>
    <t>Regulatory Source</t>
  </si>
  <si>
    <t>Parallel Up</t>
  </si>
  <si>
    <t>Level</t>
  </si>
  <si>
    <t>EBA/GL/2022/14 Annex I Scenario 1 — mandatory outlier test</t>
  </si>
  <si>
    <t>Parallel Down</t>
  </si>
  <si>
    <t>EBA/GL/2022/14 Annex I Scenario 2</t>
  </si>
  <si>
    <t>Steepener (+90/-90)</t>
  </si>
  <si>
    <t>Curve</t>
  </si>
  <si>
    <t>EBA/GL/2022/14 Annex I Scenario 3</t>
  </si>
  <si>
    <t>Flattener (+90/-90)</t>
  </si>
  <si>
    <t>EBA/GL/2022/14 Annex I Scenario 4</t>
  </si>
  <si>
    <t>Short Rate Up</t>
  </si>
  <si>
    <t>Short</t>
  </si>
  <si>
    <t>EBA/GL/2022/14 Annex I Scenario 5</t>
  </si>
  <si>
    <t>Short Rate Down</t>
  </si>
  <si>
    <t>EBA/GL/2022/14 Annex I Scenario 6</t>
  </si>
  <si>
    <t>EVE Outlier Threshold</t>
  </si>
  <si>
    <t>Limit</t>
  </si>
  <si>
    <t>CRR Art.448+EBA/GL/2022/14 para 114: &gt;15% Tier1 = outlier</t>
  </si>
  <si>
    <t>NII Early Warning</t>
  </si>
  <si>
    <t>EBA/GL/2022/14 para 116: &gt;5% NII triggers review</t>
  </si>
  <si>
    <t>SECTION A6 — LCR PARAMETERS | DEL. REG. (EU) 2022/786</t>
  </si>
  <si>
    <t>Article Reference</t>
  </si>
  <si>
    <t>Level 1 haircut: Cash+CB reserves</t>
  </si>
  <si>
    <t>Art.10(1)(a): 0% haircut</t>
  </si>
  <si>
    <t>Level 1 haircut: Sovereign bonds</t>
  </si>
  <si>
    <t>Art.10(1)(d-g): 0% haircut</t>
  </si>
  <si>
    <t>Level 2A haircut: IG corporate bonds</t>
  </si>
  <si>
    <t>Art.11(1)(b): 15% minimum</t>
  </si>
  <si>
    <t>Level 2 cap (% of HQLA)</t>
  </si>
  <si>
    <t>Art.17(1)(b): max 40%</t>
  </si>
  <si>
    <t>Level 2B cap (% of HQLA)</t>
  </si>
  <si>
    <t>Art.17(1)(c): max 15% (use 0%)</t>
  </si>
  <si>
    <t>Outflow: Retail stable deposits</t>
  </si>
  <si>
    <t>Art.24: 5%</t>
  </si>
  <si>
    <t>Outflow: Retail less stable</t>
  </si>
  <si>
    <t>Art.25: 10%</t>
  </si>
  <si>
    <t>Outflow: Wholesale non-operational</t>
  </si>
  <si>
    <t>Art.27(3): 25%</t>
  </si>
  <si>
    <t>Outflow: Financial institution unsecured</t>
  </si>
  <si>
    <t>Art.31: 100%</t>
  </si>
  <si>
    <t>Outflow: Repo — Level 1 collateral</t>
  </si>
  <si>
    <t>Art.28(3)(a): 0%</t>
  </si>
  <si>
    <t>Outflow: Repo — Level 2A collateral</t>
  </si>
  <si>
    <t>Art.28(3)(b): 15%</t>
  </si>
  <si>
    <t>Outflow: Undrawn committed facilities</t>
  </si>
  <si>
    <t>Art.32: 10%</t>
  </si>
  <si>
    <t>Outflow: CB excess deposits</t>
  </si>
  <si>
    <t>Art.27: 25%</t>
  </si>
  <si>
    <t>Inflow: Performing loans maturing &lt;=30d</t>
  </si>
  <si>
    <t>Art.32(3)(a): 50%</t>
  </si>
  <si>
    <t>Inflow: Securities maturing &lt;=30d</t>
  </si>
  <si>
    <t>Art.32(3)(c): 100%</t>
  </si>
  <si>
    <t>Inflow cap (% of gross outflows)</t>
  </si>
  <si>
    <t>Art.33: MANDATORY 75% cap</t>
  </si>
  <si>
    <t>SECTION A7 — NSFR PARAMETERS | CRR ART. 428a-428at</t>
  </si>
  <si>
    <t>Factor</t>
  </si>
  <si>
    <t>CRR Article</t>
  </si>
  <si>
    <t>EQUITY ASF: Equity (CET1+AT1+T2)</t>
  </si>
  <si>
    <t>CRR Art.428d: 100%</t>
  </si>
  <si>
    <t>RETAIL ASF: Stable deposits</t>
  </si>
  <si>
    <t>CRR Art.428h: 90%</t>
  </si>
  <si>
    <t>RETAIL ASF: Less stable deposits</t>
  </si>
  <si>
    <t>CRR Art.428i: 80%</t>
  </si>
  <si>
    <t>WHOLESALE ASF: Bonds issued &gt;1Y</t>
  </si>
  <si>
    <t>CRR Art.428n: 100%</t>
  </si>
  <si>
    <t>WHOLESALE ASF: Bonds 6M-1Y</t>
  </si>
  <si>
    <t>CRR Art.428o(2): 50%</t>
  </si>
  <si>
    <t>WHOLESALE ASF: Interbank &lt;6M</t>
  </si>
  <si>
    <t>CRR Art.428p: 0%</t>
  </si>
  <si>
    <t>WHOLESALE ASF: Repo Level 1 &lt;6M</t>
  </si>
  <si>
    <t>CRR Art.428q: 10%</t>
  </si>
  <si>
    <t>WHOLESALE ASF: Sub debt blended</t>
  </si>
  <si>
    <t>Blended AT1+T2 conservative</t>
  </si>
  <si>
    <t>WHOLESALE ASF: CB deposits</t>
  </si>
  <si>
    <t>RSF: Customer loans &gt;1Y</t>
  </si>
  <si>
    <t>CRR Art.428s(2): 85%</t>
  </si>
  <si>
    <t>RSF: Customer loans &lt;1Y</t>
  </si>
  <si>
    <t>CRR Art.428s(1): 50%</t>
  </si>
  <si>
    <t>RSF: HQLA Level 1 securities</t>
  </si>
  <si>
    <t>CRR Art.428r: 5%</t>
  </si>
  <si>
    <t>RSF: HQLA Level 2A securities</t>
  </si>
  <si>
    <t>CRR Art.428r: 15%</t>
  </si>
  <si>
    <t>RSF: Insurance assets WARNING: 100%</t>
  </si>
  <si>
    <t>CRR Art.428ab: 100% — EUR305bn</t>
  </si>
  <si>
    <t>RSF: Cash and CB reserves</t>
  </si>
  <si>
    <t>CRR Art.428q: 0%</t>
  </si>
  <si>
    <t>RSF: Interbank loans &lt;6M</t>
  </si>
  <si>
    <t>CRR Art.428s: 10%</t>
  </si>
  <si>
    <t>RSF: Other assets (PPE,goodwill)</t>
  </si>
  <si>
    <t>CRR Art.428ab: 100%</t>
  </si>
  <si>
    <t>SECTION A8 — REGULATORY THRESHOLDS | CRR / CRDV</t>
  </si>
  <si>
    <t>Legal Basis</t>
  </si>
  <si>
    <t>CET1 minimum ratio</t>
  </si>
  <si>
    <t>CRR Art.92: P1+Conservation+P2R+G-SII+CCyB = 13.5%</t>
  </si>
  <si>
    <t>AT1 minimum</t>
  </si>
  <si>
    <t>CRR Art.92(1)(b): 1.5%</t>
  </si>
  <si>
    <t>Total Capital minimum</t>
  </si>
  <si>
    <t>CRR Art.92(1)(c): 15.5%</t>
  </si>
  <si>
    <t>Leverage Ratio minimum</t>
  </si>
  <si>
    <t>CRR Art.92(1)(d)+CRR2: 3.0%</t>
  </si>
  <si>
    <t>LCR minimum</t>
  </si>
  <si>
    <t>Art.4 Del.Reg.(EU)2022/786: 100%</t>
  </si>
  <si>
    <t>NSFR minimum</t>
  </si>
  <si>
    <t>CRR Art.428b (CRR2): 100%</t>
  </si>
  <si>
    <t>IRRBB EVE outlier</t>
  </si>
  <si>
    <t>EBA/GL/2022/14 para 114: 15% Tier1</t>
  </si>
  <si>
    <t>IRRBB NII early warning</t>
  </si>
  <si>
    <t>EBA/GL/2022/14 para 116: 5% NII</t>
  </si>
  <si>
    <t>SECTION A9 — MODEL CONTROLS</t>
  </si>
  <si>
    <t>Reporting Date</t>
  </si>
  <si>
    <t>Currency</t>
  </si>
  <si>
    <t>EUR</t>
  </si>
  <si>
    <t>Units</t>
  </si>
  <si>
    <t>EUR millions</t>
  </si>
  <si>
    <t>Major European G-SIB</t>
  </si>
  <si>
    <t>EU — Basel III / CRR2 / Del. Reg. (EU) 2022/786</t>
  </si>
  <si>
    <t>3 Years (2026F–2028F)</t>
  </si>
  <si>
    <t>Prepared By</t>
  </si>
  <si>
    <t>Hossam Eltarrass</t>
  </si>
  <si>
    <t>ZONE B — BALANCE SHEET FORECAST (Formula Cells — write formulas here, NOT yellow)</t>
  </si>
  <si>
    <t>Item</t>
  </si>
  <si>
    <t>DERIVED RATES — write your rate formulas here</t>
  </si>
  <si>
    <t>Loan yield</t>
  </si>
  <si>
    <t>Deposit rate</t>
  </si>
  <si>
    <t>Repo rate</t>
  </si>
  <si>
    <t>Bond portfolio yield</t>
  </si>
  <si>
    <t>SU bond issuance cost</t>
  </si>
  <si>
    <t>Market funding rate (Euribor+spread)</t>
  </si>
  <si>
    <t>Sub debt blended cost</t>
  </si>
  <si>
    <t>Asset Line</t>
  </si>
  <si>
    <t>Cash &amp; CB reserves (RESIDUAL PLUG — build last)</t>
  </si>
  <si>
    <t>Liability Line</t>
  </si>
  <si>
    <t>Equity / Check</t>
  </si>
  <si>
    <t>BALANCE SHEET CHECK</t>
  </si>
  <si>
    <t>FUNDING RATIOS</t>
  </si>
  <si>
    <t>Loan-Deposit ratio</t>
  </si>
  <si>
    <t>Market funding / Total liab</t>
  </si>
  <si>
    <t>Stable funding / Total funding</t>
  </si>
  <si>
    <t>Trading book growth (Base/Cut/NSFR)</t>
  </si>
  <si>
    <t>Effective tax rate</t>
  </si>
  <si>
    <t>REPRICING BUCKET SPLITS — ASSET MATURITY SCHEDULE (% of loan book)</t>
  </si>
  <si>
    <t>Loans: % repricing overnight</t>
  </si>
  <si>
    <t>Loans: % repricing 0–3M</t>
  </si>
  <si>
    <t>Loans: % repricing 3–6M</t>
  </si>
  <si>
    <t>Loans: % repricing 6–12M</t>
  </si>
  <si>
    <t>Loans: % repricing 1–2Y</t>
  </si>
  <si>
    <t>Loans: % repricing 2–5Y</t>
  </si>
  <si>
    <t>Loans: % repricing 5+Y</t>
  </si>
  <si>
    <t>REPRICING BUCKET SPLITS — DEPOSIT BEHAVIOURAL MATURITY</t>
  </si>
  <si>
    <t>Deposits core: % in 0–3M bucket</t>
  </si>
  <si>
    <t>Deposits core: % in 3–6M bucket</t>
  </si>
  <si>
    <t>Deposits core: % in 6–12M bucket</t>
  </si>
  <si>
    <t>Deposits core: % in 1–2Y bucket</t>
  </si>
  <si>
    <t>Deposits core: % in 2–5Y bucket</t>
  </si>
  <si>
    <t>Deposits core: % in 5+Y bucket</t>
  </si>
  <si>
    <t>DURATION WEIGHTS FOR PVBP/EVE (years — bucket midpoint)</t>
  </si>
  <si>
    <t>Duration: Overnight bucket</t>
  </si>
  <si>
    <t>Duration: 0–3M bucket</t>
  </si>
  <si>
    <t>Duration: 3–6M bucket</t>
  </si>
  <si>
    <t>Duration: 6–12M bucket</t>
  </si>
  <si>
    <t>Duration: 1–2Y bucket</t>
  </si>
  <si>
    <t>Duration: 2–5Y bucket</t>
  </si>
  <si>
    <t>Duration: 5+Y bucket</t>
  </si>
  <si>
    <t>IRRBB floor adjustment factor (downward shocks)</t>
  </si>
  <si>
    <t>LCR: CB reserves — excess proportion (subject to outflow)</t>
  </si>
  <si>
    <t>RSF: % of customer loans with residual maturity &gt;1Y</t>
  </si>
  <si>
    <t>RWA: Trading book market risk weight (standardised SA-TB)</t>
  </si>
  <si>
    <t>Scenario NII helper — 2026F</t>
  </si>
  <si>
    <t>NII 2026F — Base</t>
  </si>
  <si>
    <t>NII 2026F — Rate Hike</t>
  </si>
  <si>
    <t>NII 2026F — Rate Cut</t>
  </si>
  <si>
    <t>NII 2026F — Stress</t>
  </si>
  <si>
    <t>NIM 2026F — Base</t>
  </si>
  <si>
    <t>NIM 2026F — Rate Hike</t>
  </si>
  <si>
    <t>NIM 2026F — Rate Cut</t>
  </si>
  <si>
    <t>NIM 2026F — Stress</t>
  </si>
  <si>
    <t>Loan yield 2026F — Base</t>
  </si>
  <si>
    <t>Loan yield 2026F — Rate Hike</t>
  </si>
  <si>
    <t>Loan yield 2026F — Rate Cut</t>
  </si>
  <si>
    <t>Loan yield 2026F — Stress</t>
  </si>
  <si>
    <t>Deposit cost 2026F — Base</t>
  </si>
  <si>
    <t>Deposit cost 2026F — Rate Hike</t>
  </si>
  <si>
    <t>Deposit cost 2026F — Rate Cut</t>
  </si>
  <si>
    <t>Deposit cost 2026F — Stress</t>
  </si>
  <si>
    <t>Net Income 2026F — Base</t>
  </si>
  <si>
    <t>Net Income 2026F — Rate Hike</t>
  </si>
  <si>
    <t>Net Income 2026F — Rate Cut</t>
  </si>
  <si>
    <t>Net Income 2026F — Stress</t>
  </si>
  <si>
    <t xml:space="preserve">SCENARIO COMPARISON HELPERS — CET1 / LCR / NSFR </t>
  </si>
  <si>
    <t>Retained Earnings 2026F — Base</t>
  </si>
  <si>
    <t>Retained Earnings 2026F — Rate Hike</t>
  </si>
  <si>
    <t>Retained Earnings 2026F — Rate Cut</t>
  </si>
  <si>
    <t>Retained Earnings 2026F — Stress</t>
  </si>
  <si>
    <t>Equity 2026F — Base</t>
  </si>
  <si>
    <t>Equity 2026F — Rate Hike</t>
  </si>
  <si>
    <t>Equity 2026F — Rate Cut</t>
  </si>
  <si>
    <t>Equity 2026F — Stress</t>
  </si>
  <si>
    <t>Loans 2026F — Base</t>
  </si>
  <si>
    <t>Loans 2026F — Rate Hike</t>
  </si>
  <si>
    <t>Loans 2026F — Rate Cut</t>
  </si>
  <si>
    <t>Loans 2026F — Stress</t>
  </si>
  <si>
    <t>Trading 2026F — Base</t>
  </si>
  <si>
    <t>Trading 2026F — Rate Hike</t>
  </si>
  <si>
    <t>Trading 2026F — Rate Cut</t>
  </si>
  <si>
    <t>Trading 2026F — Stress</t>
  </si>
  <si>
    <t>Securities 2026F — Base</t>
  </si>
  <si>
    <t>Securities 2026F — Rate Hike</t>
  </si>
  <si>
    <t>Securities 2026F — Rate Cut</t>
  </si>
  <si>
    <t>Securities 2026F — Stress</t>
  </si>
  <si>
    <t>RWA 2026F — Base</t>
  </si>
  <si>
    <t>RWA 2026F — Rate Hike</t>
  </si>
  <si>
    <t>RWA 2026F — Rate Cut</t>
  </si>
  <si>
    <t>RWA 2026F — Stress</t>
  </si>
  <si>
    <t>CET1 2026F — Base</t>
  </si>
  <si>
    <t>CET1 2026F — Rate Hike</t>
  </si>
  <si>
    <t>CET1 2026F — Rate Cut</t>
  </si>
  <si>
    <t>CET1 2026F — Stress</t>
  </si>
  <si>
    <t>IRRBB hedge offset factor (% of EVE exposure hedged)</t>
  </si>
  <si>
    <t>RSF: Trading assets (blended proxy)</t>
  </si>
  <si>
    <t>Other assets/liab scenario growth factor</t>
  </si>
  <si>
    <t>SECTION C1 — TRADING BOOK NSFR RSF SPLIT | Major European G-SIB Pillar 3 2025</t>
  </si>
  <si>
    <t>Split: Sovereign / Level 1 securities (% of trading book)</t>
  </si>
  <si>
    <t>Split: Derivatives &amp; Structured (% of trading book)</t>
  </si>
  <si>
    <t>Split: Other trading assets (% of trading book)</t>
  </si>
  <si>
    <t>RSF factor: Sovereign / Level 1 (CRR Art.428r)</t>
  </si>
  <si>
    <t>RSF factor: Derivatives &amp; Structured (CRR Art.428ag)</t>
  </si>
  <si>
    <t>RSF factor: Other trading assets (CRR Art.428ab)</t>
  </si>
  <si>
    <t>Derived blended RSF check (40%×5%+30%×10%+30%×85% = 30.5% vs C258=20%)</t>
  </si>
  <si>
    <t>YieldCurve — Spot Rate Bootstrap &amp; IRRBB Shock Scenarios  |  2026F</t>
  </si>
  <si>
    <t>SECTION 1 — MARKET RATE INPUTS  |  Engine Sheet 2026F</t>
  </si>
  <si>
    <t>Value (2026F)</t>
  </si>
  <si>
    <t>Engine!E14, 2026F</t>
  </si>
  <si>
    <t>Engine!E15, 2026F</t>
  </si>
  <si>
    <t>5Y EUR Swap Rate</t>
  </si>
  <si>
    <t>Engine!E16, 2026F</t>
  </si>
  <si>
    <t>10Y EUR Swap Rate</t>
  </si>
  <si>
    <t>Engine!E17, 2026F</t>
  </si>
  <si>
    <t>SECTION 2 — PAR RATE INTERPOLATION &amp; SPOT RATE BOOTSTRAPPING  (Annual 1Y–10Y)</t>
  </si>
  <si>
    <t>Year</t>
  </si>
  <si>
    <t>Par Rate (interp.)</t>
  </si>
  <si>
    <t>Discount Factor</t>
  </si>
  <si>
    <t>Spot Rate</t>
  </si>
  <si>
    <t>Notes</t>
  </si>
  <si>
    <t>1Y par: interp. 3M Euribor→5Y Swap. DF=1/(1+c). Spot=par rate (single-period)</t>
  </si>
  <si>
    <t>2Y par: interp. Bootstrap: DF=(1-c×ΣDF_prev)/(1+c)</t>
  </si>
  <si>
    <t>3Y par: interp. Bootstrap sequential</t>
  </si>
  <si>
    <t>4Y par: interp. Bootstrap sequential</t>
  </si>
  <si>
    <t>5Y par: =Engine!E16 (market input). Bootstrapped spot</t>
  </si>
  <si>
    <t>6Y par: interp. 5Y→10Y Swap</t>
  </si>
  <si>
    <t>7Y par: interp. 5Y→10Y Swap</t>
  </si>
  <si>
    <t>8Y par: interp. 5Y→10Y Swap</t>
  </si>
  <si>
    <t>9Y par: interp. 5Y→10Y Swap</t>
  </si>
  <si>
    <t>10Y par: =Engine!E17 (market input). Bootstrapped spot</t>
  </si>
  <si>
    <t>SECTION 3 — YIELD CURVE SUMMARY  |  Base Case + IRRBB EBA/GL/2022/14 Shock Scenarios</t>
  </si>
  <si>
    <t>BASE CASE</t>
  </si>
  <si>
    <t>PAR. UP  +200bps</t>
  </si>
  <si>
    <t>PAR. DOWN  −200bps</t>
  </si>
  <si>
    <t>STEEPENER  (+90/−90)</t>
  </si>
  <si>
    <t>FLATTENER  (−90/+90)</t>
  </si>
  <si>
    <t>Tenor</t>
  </si>
  <si>
    <t>T (yrs)</t>
  </si>
  <si>
    <t>Disc. Factor</t>
  </si>
  <si>
    <t>Fwd Rate→next</t>
  </si>
  <si>
    <t>Overnight</t>
  </si>
  <si>
    <t>3 Month</t>
  </si>
  <si>
    <t>6 Month</t>
  </si>
  <si>
    <t>1 Year</t>
  </si>
  <si>
    <t>2 Year</t>
  </si>
  <si>
    <t>5 Year</t>
  </si>
  <si>
    <t>10 Year</t>
  </si>
  <si>
    <t>MAJOR EUROPEAN G-SIB — ALM Model | Calculations | All figures EUR millions</t>
  </si>
  <si>
    <t>B — Asset / Liability</t>
  </si>
  <si>
    <t>Balance (€m)</t>
  </si>
  <si>
    <t>Rate</t>
  </si>
  <si>
    <t>Interest (€m)</t>
  </si>
  <si>
    <t>Cash &amp; CB reserves (earns ECB DFR rate — NOT loan rate)</t>
  </si>
  <si>
    <t>Securities portfolio</t>
  </si>
  <si>
    <t>Total Interest Income</t>
  </si>
  <si>
    <t>B — Liability</t>
  </si>
  <si>
    <t>Interest Cost (€m)</t>
  </si>
  <si>
    <t>Total Interest Expense</t>
  </si>
  <si>
    <t>★ NET INTEREST INCOME</t>
  </si>
  <si>
    <t>Average earning assets (see guide for formula)</t>
  </si>
  <si>
    <t xml:space="preserve">NIM </t>
  </si>
  <si>
    <t>B — P&amp;L Line</t>
  </si>
  <si>
    <t xml:space="preserve">Operating Expenses </t>
  </si>
  <si>
    <t>Gross Operating Income</t>
  </si>
  <si>
    <t xml:space="preserve">Provisions / CoR </t>
  </si>
  <si>
    <t>Pre-Tax Income</t>
  </si>
  <si>
    <t>Income Tax (25%)</t>
  </si>
  <si>
    <t>Dividend (60% payout)</t>
  </si>
  <si>
    <t>Retained Earnings</t>
  </si>
  <si>
    <t xml:space="preserve">ROA </t>
  </si>
  <si>
    <t xml:space="preserve">CIR check </t>
  </si>
  <si>
    <t>B — Time Bucket</t>
  </si>
  <si>
    <t>Assets (€m)</t>
  </si>
  <si>
    <t>Liabilities (€m)</t>
  </si>
  <si>
    <t>GAP</t>
  </si>
  <si>
    <t>Cum. GAP</t>
  </si>
  <si>
    <t>ΔNii per 100bps</t>
  </si>
  <si>
    <t>0–3 Months</t>
  </si>
  <si>
    <t>3–6 Months</t>
  </si>
  <si>
    <t>6–12 Months</t>
  </si>
  <si>
    <t>1–2 Years</t>
  </si>
  <si>
    <t>2–5 Years</t>
  </si>
  <si>
    <t>5+ Years</t>
  </si>
  <si>
    <t>Total/Check</t>
  </si>
  <si>
    <t>Asset Check</t>
  </si>
  <si>
    <t>B — Item</t>
  </si>
  <si>
    <t>NII View (12M)</t>
  </si>
  <si>
    <t>EVE View (Full BS)</t>
  </si>
  <si>
    <t>Rate-sensitive assets</t>
  </si>
  <si>
    <t>Rate-sensitive liabilities</t>
  </si>
  <si>
    <t>IRRBB GAP</t>
  </si>
  <si>
    <t>Regulatory Metrics</t>
  </si>
  <si>
    <t>Total PVBP (€m per 1bp)</t>
  </si>
  <si>
    <t>B — Shock Scenario</t>
  </si>
  <si>
    <t>NII Impact (€m)</t>
  </si>
  <si>
    <t>EVE Impact (€m)</t>
  </si>
  <si>
    <t>Parallel Up +200bps</t>
  </si>
  <si>
    <t>Parallel Down -200bps</t>
  </si>
  <si>
    <t>Steepener</t>
  </si>
  <si>
    <t>Flattener</t>
  </si>
  <si>
    <t>Worst EVE Scenario</t>
  </si>
  <si>
    <t>Worst NII Scenario</t>
  </si>
  <si>
    <t>SECTION 5 — LCR | DELEGATED REGULATION (EU) 2022/786</t>
  </si>
  <si>
    <t>Amount (€m)</t>
  </si>
  <si>
    <t>Level 1: Cash &amp; CB reserves</t>
  </si>
  <si>
    <t>Level 1: Government bonds</t>
  </si>
  <si>
    <t>Level 2A: Corporate bonds</t>
  </si>
  <si>
    <t>FVOCI equity</t>
  </si>
  <si>
    <t>TOTAL HQLA</t>
  </si>
  <si>
    <t>30-Day Outflows</t>
  </si>
  <si>
    <t>Retail deposits — stable</t>
  </si>
  <si>
    <t>Retail deposits — less stable</t>
  </si>
  <si>
    <t>Wholesale non-operational</t>
  </si>
  <si>
    <t>Interbank (fin. inst.)</t>
  </si>
  <si>
    <t>Repo — Level 1 collateral</t>
  </si>
  <si>
    <t>Repo — Level 2A collateral</t>
  </si>
  <si>
    <t>CB deposits (excess reserves)</t>
  </si>
  <si>
    <t>Undrawn commitments to corporates</t>
  </si>
  <si>
    <t>Total Outflows (C90: =SUM(C82:C89))</t>
  </si>
  <si>
    <t>30-Day Inflows + LCR Ratio</t>
  </si>
  <si>
    <t>Loan inflows</t>
  </si>
  <si>
    <t>Securities inflows</t>
  </si>
  <si>
    <t>Total Inflows (C95: =SUM(C93:C94))</t>
  </si>
  <si>
    <t>Inflow cap 75%</t>
  </si>
  <si>
    <t>Net Outflows</t>
  </si>
  <si>
    <t>★ LCR RATIO</t>
  </si>
  <si>
    <t>SECTION 6 — NSFR | CRR ART. 428a-428at</t>
  </si>
  <si>
    <t>Available Stable Funding (ASF)</t>
  </si>
  <si>
    <t>Equity (100% ASF)</t>
  </si>
  <si>
    <t>Retail deposits — stable (90%)</t>
  </si>
  <si>
    <t>Retail deposits — less stable (80%)</t>
  </si>
  <si>
    <t>Bonds issued (50%)</t>
  </si>
  <si>
    <t>Sub debt blended (50%)</t>
  </si>
  <si>
    <t>Interbank &lt; 6M (0%)</t>
  </si>
  <si>
    <t>Repo — Level 1 (10%)</t>
  </si>
  <si>
    <t>CB deposits (0%)</t>
  </si>
  <si>
    <t>Total ASF</t>
  </si>
  <si>
    <t>Required Stable Funding (RSF)</t>
  </si>
  <si>
    <t>Loans (&gt;1Y @85% RSF + &lt;1Y @50% RSF)</t>
  </si>
  <si>
    <t>Gov bonds — Level 1 (5% RSF)</t>
  </si>
  <si>
    <t>Corp bonds — Level 2A (15% RSF)</t>
  </si>
  <si>
    <t>Insurance assets WARNING: 100% RSF</t>
  </si>
  <si>
    <t>Interbank loans — short term (10%)</t>
  </si>
  <si>
    <t>Cash (0% RSF)</t>
  </si>
  <si>
    <t>Trading — Sovereign / Level 1 (5% RSF, CRR Art.428r)</t>
  </si>
  <si>
    <t>Trading — Derivatives &amp; Structured (10% RSF, CRR Art.428ag)</t>
  </si>
  <si>
    <t>Trading — Other trading assets (85% RSF, CRR Art.428ab)</t>
  </si>
  <si>
    <t>Trading RSF — refined total (Art.428r + Art.428ag + Art.428ab)</t>
  </si>
  <si>
    <t xml:space="preserve">  ↳ Difference: refined total minus blended proxy</t>
  </si>
  <si>
    <t>Total RSF</t>
  </si>
  <si>
    <t>★ NSFR RATIO</t>
  </si>
  <si>
    <t>B — Metric</t>
  </si>
  <si>
    <t>2028F Notes</t>
  </si>
  <si>
    <t>RWA</t>
  </si>
  <si>
    <t>CET1 Ratio (target ≥13.5%)</t>
  </si>
  <si>
    <t>Leverage Ratio (target ≥3.0%)</t>
  </si>
  <si>
    <t>CET1 Buffer above MDA trigger</t>
  </si>
  <si>
    <t>SECTION 8 — NIM TREND | 2024A–2028F</t>
  </si>
  <si>
    <t>Average Earning Assets</t>
  </si>
  <si>
    <t>NII</t>
  </si>
  <si>
    <t>NIM (format as % 2dp)</t>
  </si>
  <si>
    <t>B — Ratio</t>
  </si>
  <si>
    <t>Minimum</t>
  </si>
  <si>
    <t>NIM (%)</t>
  </si>
  <si>
    <t>CET1 (%)</t>
  </si>
  <si>
    <t>13.5%</t>
  </si>
  <si>
    <t>Leverage (%)</t>
  </si>
  <si>
    <t>3.0%</t>
  </si>
  <si>
    <t>LCR (%)</t>
  </si>
  <si>
    <t>100%</t>
  </si>
  <si>
    <t>NSFR (x)</t>
  </si>
  <si>
    <t>1.00x</t>
  </si>
  <si>
    <t>Net Income (€m)</t>
  </si>
  <si>
    <t>CoR (bps)</t>
  </si>
  <si>
    <t>Base (1)</t>
  </si>
  <si>
    <t>Rate Hike (2)</t>
  </si>
  <si>
    <t>Rate Cut (3)</t>
  </si>
  <si>
    <t>Stress (4)</t>
  </si>
  <si>
    <t>Δ Hike</t>
  </si>
  <si>
    <t>Δ Cut</t>
  </si>
  <si>
    <t>Δ Stress</t>
  </si>
  <si>
    <t>NII (€m)</t>
  </si>
  <si>
    <t>Loan yield (%)</t>
  </si>
  <si>
    <t>Deposit cost (%)</t>
  </si>
  <si>
    <t>EVE / Tier1 (%)</t>
  </si>
  <si>
    <t>SECTION 11 — NIM SENSITIVITY | ECB Rate vs Deposit Beta | Excel Data Table</t>
  </si>
  <si>
    <t>EBA/GL/2022/14 para 116 — NIM sensitivity &gt;5% triggers supervisory review</t>
  </si>
  <si>
    <t>SECTION 12 — MONTHLY NII SIMULATION | 12-MONTH FORWARD | EBA/GL/2022/14</t>
  </si>
  <si>
    <t>2026 monthly ECB DFR assumption</t>
  </si>
  <si>
    <t>Month</t>
  </si>
  <si>
    <t>Loan bal (€m)</t>
  </si>
  <si>
    <t>Loan rate</t>
  </si>
  <si>
    <t>Loan income (€m)</t>
  </si>
  <si>
    <t>Dep bal (€m)</t>
  </si>
  <si>
    <t>Dep rate</t>
  </si>
  <si>
    <t>Dep cost (€m)</t>
  </si>
  <si>
    <t>Monthly NII (€m)</t>
  </si>
  <si>
    <t>Cumulative NII (€m)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</si>
  <si>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</si>
  <si>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</si>
  <si>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</si>
  <si>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</si>
  <si>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</si>
  <si>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</si>
  <si>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</si>
  <si>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</si>
  <si>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</si>
  <si>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</si>
  <si>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</si>
  <si>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</si>
  <si>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Full-year NII 2026F (monthly model)</t>
  </si>
  <si>
    <t>Reconciliation vs annual model</t>
  </si>
  <si>
    <t>Variance (should be &lt;1%)</t>
  </si>
  <si>
    <t>Time bucket</t>
  </si>
  <si>
    <t>Asset maturities (€m)</t>
  </si>
  <si>
    <t>Liability maturities (€m)</t>
  </si>
  <si>
    <t>Net gap (€m)</t>
  </si>
  <si>
    <t>Cumulative gap (€m)</t>
  </si>
  <si>
    <t>HQLA available (€m)</t>
  </si>
  <si>
    <t>Survival indicator</t>
  </si>
  <si>
    <t>1 Day</t>
  </si>
  <si>
    <t>1 Week</t>
  </si>
  <si>
    <t>1 Month</t>
  </si>
  <si>
    <t>3 Months</t>
  </si>
  <si>
    <t>6 Months</t>
  </si>
  <si>
    <t>2 Year+</t>
  </si>
  <si>
    <t>Survival horizon</t>
  </si>
  <si>
    <t>Minimum cumulative gap (€m)</t>
  </si>
  <si>
    <t>HQLA coverage of worst bucket (%)</t>
  </si>
  <si>
    <t>Regulatory basis: EBA/GL/2014/35 — liquidity stress testing guidelines</t>
  </si>
  <si>
    <t>Repricing GAP (€m)</t>
  </si>
  <si>
    <t>Duration weight (yrs)</t>
  </si>
  <si>
    <t>PVBP (€m per 1bp)</t>
  </si>
  <si>
    <t>Cumulative PVBP</t>
  </si>
  <si>
    <t>% of total PVBP</t>
  </si>
  <si>
    <t>5Y+</t>
  </si>
  <si>
    <t>net / hedged EVE impact +100bps (€m)</t>
  </si>
  <si>
    <t>EVE impact +200bps (€m)</t>
  </si>
  <si>
    <t>EVE / Tier 1 Capital (%)</t>
  </si>
  <si>
    <t>Outlier test (&gt;15% = breach)</t>
  </si>
  <si>
    <t>Section 4 EVE reconciliation</t>
  </si>
  <si>
    <t>PVBP method per EBA/GL/2022/14 Annex II. Duration weights are simplified mid-point approximations. For Pillar 3 disclosure, use full cashflow discounting per CRR Art.448.</t>
  </si>
  <si>
    <t>CASHFLOW SCHEDULE</t>
  </si>
  <si>
    <t>SHORT RATE UP  +250bps</t>
  </si>
  <si>
    <t>SHORT RATE DOWN  −250bps</t>
  </si>
  <si>
    <t>Time Bucket</t>
  </si>
  <si>
    <t>Liab. (€m)</t>
  </si>
  <si>
    <t>Net CF (€m)</t>
  </si>
  <si>
    <t>Present Value (€m)</t>
  </si>
  <si>
    <t>PV (€m)</t>
  </si>
  <si>
    <t>BASE EVE  (€m)  — sum of discounted net cashflows at current yield curve</t>
  </si>
  <si>
    <t>SHOCKED EVE SUMMARY — BASEL IRRBB SCENARIOS  |  EBA/GL/2022/14 Annex I  |  EVE Change vs Base</t>
  </si>
  <si>
    <t>Shocked EVE (€m)</t>
  </si>
  <si>
    <t>Base EVE (€m)</t>
  </si>
  <si>
    <t>ΔEVE (€m)</t>
  </si>
  <si>
    <t>ΔEVE / Tier 1 Capital (%)</t>
  </si>
  <si>
    <t>Outlier Status (&gt;15% = breach)</t>
  </si>
  <si>
    <t>Parallel Up  +200bps</t>
  </si>
  <si>
    <t>Parallel Down  −200bps</t>
  </si>
  <si>
    <t>Steepener  (+90/−90)</t>
  </si>
  <si>
    <t>Flattener  (−90/+90)</t>
  </si>
  <si>
    <t>Short Rate Up  +250bps</t>
  </si>
  <si>
    <t>Short Rate Down  −250bps</t>
  </si>
  <si>
    <t>RECONCILIATION CHECK  |  Section 14b (Full DF) vs Section 14 (PVBP Method)  |  Difference &lt; 15% of S14 result expected</t>
  </si>
  <si>
    <t>Metric</t>
  </si>
  <si>
    <t>S14b  |ΔEVE| Par Up / Tier 1 (%)</t>
  </si>
  <si>
    <t>S14  Gross |ΔEVE| Par Up / Tier 1 (%)</t>
  </si>
  <si>
    <t>Difference (pp)</t>
  </si>
  <si>
    <t>Relative Difference as % of S14</t>
  </si>
  <si>
    <t>Reconciliation Status (pass if &lt;15%)</t>
  </si>
  <si>
    <t>Par Up |ΔEVE|/T1 — S14b Full DF (gross) vs S14 PVBP (gross, unhedged)</t>
  </si>
  <si>
    <t>SECTION 15 — FUND TRANSFER PRICING CURVE | INTERNAL ALM PRICING</t>
  </si>
  <si>
    <t>Base rate</t>
  </si>
  <si>
    <t>Liquidity premium (bps)</t>
  </si>
  <si>
    <t>FTP rate</t>
  </si>
  <si>
    <t>WORKED EXAMPLE 1 — Mortgage book FTP analysis (5Y fixed, 2026F)</t>
  </si>
  <si>
    <t>Product rate (customer)</t>
  </si>
  <si>
    <t>FTP charge at 5Y tenor</t>
  </si>
  <si>
    <t>Customer NIM after FTP</t>
  </si>
  <si>
    <t>Mortgage book balance (€m)</t>
  </si>
  <si>
    <t>NII contribution (€m)</t>
  </si>
  <si>
    <t>WORKED EXAMPLE 2 — Retail deposit FTP credit analysis (overnight/NMD, 2026F)</t>
  </si>
  <si>
    <t>Deposit rate paid to customer</t>
  </si>
  <si>
    <t>FTP credit received from ALM desk</t>
  </si>
  <si>
    <t>Deposit franchise margin</t>
  </si>
  <si>
    <t>Deposit balance (€m)</t>
  </si>
  <si>
    <t>Total bank NII check: Mortgage NII + Deposit NII + other books = Total NII (Section 2)</t>
  </si>
  <si>
    <t>FTP methodology per Basel Committee BCBS 239 / EBA internal governance guidelines. Liquidity premium should be calibrated to the bank's own CDS spread and funding market conditions. Major European G-SIB 5Y CDS ~55bps as at 2025A.</t>
  </si>
  <si>
    <t>VALIDATION CHECKS</t>
  </si>
  <si>
    <t>Check</t>
  </si>
  <si>
    <t>Formula</t>
  </si>
  <si>
    <t>Result</t>
  </si>
  <si>
    <t>Status</t>
  </si>
  <si>
    <t>PVBP EVE +200bps vs Section 4 EVE (methodological gap expected)</t>
  </si>
  <si>
    <t>Monthly loan/dep NII vs full annual NII (structural gap expected — S12 excludes cash/securities/IB/repo income)</t>
  </si>
  <si>
    <t>Survival horizon not 1D or 1W</t>
  </si>
  <si>
    <t>FTP curve upward-sloping (10Y &gt; overnight)</t>
  </si>
  <si>
    <t>SECTION 16 — PREPAYMENT SENSITIVITY | CPR MODEL | IRRBB</t>
  </si>
  <si>
    <t>PART A — NII IMPACT | CPR SENSITIVITY BY RATE SCENARIO (Annual, €m)</t>
  </si>
  <si>
    <t>Loan Balance 2026F (€m)</t>
  </si>
  <si>
    <t>Old Loan Yield — 2025A Book (Engine Derived)</t>
  </si>
  <si>
    <t>Loan Repricing Beta</t>
  </si>
  <si>
    <t>Annual CPR</t>
  </si>
  <si>
    <t>Base (0 bps)</t>
  </si>
  <si>
    <t>Rate Hike (+200bps)</t>
  </si>
  <si>
    <t>Rate Cut (−200bps)</t>
  </si>
  <si>
    <t>Stress (+300bps)</t>
  </si>
  <si>
    <t>CPR Multiplier [EBA/IRRBB assumption]</t>
  </si>
  <si>
    <t>Yield Delta — New vs Old Loan Yield (Rate Shock × Beta)</t>
  </si>
  <si>
    <t>CPR =  0%</t>
  </si>
  <si>
    <t>CPR =  5%</t>
  </si>
  <si>
    <t>CPR = 10%  ← Base Case CPR (10%)</t>
  </si>
  <si>
    <t>CPR = 15%</t>
  </si>
  <si>
    <t>CPR = 20%</t>
  </si>
  <si>
    <t>CPR = 25%</t>
  </si>
  <si>
    <t>CPR = 30%</t>
  </si>
  <si>
    <t>PART B — EVE SENSITIVITY TO CPR | PARALLEL UP +200bps | EBA/GL/2022/14 Annex I (Scenario 1)</t>
  </si>
  <si>
    <t>Average Loan Duration (years)</t>
  </si>
  <si>
    <t>EBA/GL/2022/14 Annex II; Major European G-SIB retail mortgage avg. maturity</t>
  </si>
  <si>
    <t>Duration Shortening Scale Factor</t>
  </si>
  <si>
    <t>Regulatory scaling: Δduration = CPR × avg_duration × scale</t>
  </si>
  <si>
    <t>Effective Duration (yrs)</t>
  </si>
  <si>
    <t>Adj. PVBP (€m/bp)</t>
  </si>
  <si>
    <t>EVE / Tier 1 (%)</t>
  </si>
  <si>
    <t>CPR = 10%</t>
  </si>
  <si>
    <t>PVBP source: Section 14 row 226. Tier 1 Capital: Engine!D145 (2025A). Duration shortening = CPR × 2.5Y × 0.30 scaling factor per EBA/GL/2022/14 Annex II.</t>
  </si>
  <si>
    <t>SEVERE STRESS SCENARIO PARAMETERS</t>
  </si>
  <si>
    <t>Current Scenario (Engine)</t>
  </si>
  <si>
    <t>Severe Stress Assumption</t>
  </si>
  <si>
    <t>Rate Shock (bps)</t>
  </si>
  <si>
    <t>Loan Growth (%)</t>
  </si>
  <si>
    <t>Deposit Outflow — Net (%)</t>
  </si>
  <si>
    <t>Cost of Risk (bps)</t>
  </si>
  <si>
    <t>Cost / Income Ratio</t>
  </si>
  <si>
    <t>ICAAP STRESS SUMMARY TABLE | ALCO-READY | 2026F Reference Year</t>
  </si>
  <si>
    <t>Reg. Minimum</t>
  </si>
  <si>
    <t>Base 2026F</t>
  </si>
  <si>
    <t>Severe Stress</t>
  </si>
  <si>
    <t>Change</t>
  </si>
  <si>
    <t>Traffic Light</t>
  </si>
  <si>
    <t>NII under Severe Stress (€m)</t>
  </si>
  <si>
    <t>N/A — EWI &gt;5% NII</t>
  </si>
  <si>
    <t>Net Income under Severe Stress (€m)</t>
  </si>
  <si>
    <t>&gt;0 (viability)</t>
  </si>
  <si>
    <t>CET1 Ratio under Severe Stress</t>
  </si>
  <si>
    <t>LCR under Severe Stress (15% Deposit Outflow)</t>
  </si>
  <si>
    <t>NSFR under Severe Stress</t>
  </si>
  <si>
    <t>EVE / Tier 1 under Severe Stress (+300bps shock)</t>
  </si>
  <si>
    <t>15.0%</t>
  </si>
  <si>
    <t>EBA/GL/2022/14 Shock Scenario</t>
  </si>
  <si>
    <t>Gross EVE (€m)
[Unhedged]</t>
  </si>
  <si>
    <t>Hedge Offset (€m)
[55% IRS ratio]</t>
  </si>
  <si>
    <t>Net EVE (€m)
[Post-Hedge]</t>
  </si>
  <si>
    <t>Net EVE / Tier 1
(%)</t>
  </si>
  <si>
    <t>Outlier vs 15% Tier 1
Threshold</t>
  </si>
  <si>
    <t>Parallel Up +200bps  (EBA Scenario 1)</t>
  </si>
  <si>
    <t>Parallel Down −200bps (EBA Scenario 2)</t>
  </si>
  <si>
    <t>Steepener +90/−90bps  (EBA Scenario 3)</t>
  </si>
  <si>
    <t>Flattener −90/+90bps  (EBA Scenario 4)</t>
  </si>
  <si>
    <t>Short Rate Up +250bps (EBA Scenario 5)</t>
  </si>
  <si>
    <t>Short Rate Down −250bps (EBA Scenario 6)</t>
  </si>
  <si>
    <t>Total Hedge Notional Assumed (EUR bn estimate)</t>
  </si>
  <si>
    <t>Hedge Ratio (IRS Overlay — % of Gross EVE Exposure Hedged)</t>
  </si>
  <si>
    <t xml:space="preserve">Trading RSF — blended 20% </t>
  </si>
  <si>
    <t>v10</t>
  </si>
  <si>
    <t>ALM Intern | BSc Banking &amp; Finance — University of Siena</t>
  </si>
  <si>
    <t>Within limit ✓  11.3%</t>
  </si>
  <si>
    <t>Within limit ✓  6.1%</t>
  </si>
  <si>
    <t>Within limit ✓  0.1%</t>
  </si>
  <si>
    <t>3 Year</t>
  </si>
  <si>
    <t>4 Year</t>
  </si>
  <si>
    <t>6 Year</t>
  </si>
  <si>
    <t>7 Year</t>
  </si>
  <si>
    <t>8 Year</t>
  </si>
  <si>
    <t>9 Year</t>
  </si>
  <si>
    <t xml:space="preserve">SECTION A10 — CENTRALIZED ASSUMPTIONS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</si>
</sst>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0.00\x"/>
    <numFmt numFmtId="166" formatCode="#,##0.0"/>
    <numFmt numFmtId="167" formatCode="\+0.00%;\-0.00%;\-"/>
    <numFmt numFmtId="168" formatCode="0.000000"/>
    <numFmt numFmtId="169" formatCode="0.0000"/>
    <numFmt numFmtId="170" formatCode="#,##0;\(#,##0\);\-"/>
    <numFmt numFmtId="171" formatCode="#,##0.0_);\(#,##0.0\);\-"/>
    <numFmt numFmtId="172" formatCode="0.0%;\(0.0%\);\-"/>
    <numFmt numFmtId="173" formatCode="0.000"/>
    <numFmt numFmtId="174" formatCode="0.0"/>
    <numFmt numFmtId="175" formatCode="#,##0.000"/>
  </numFmts>
  <fonts count="69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sz val="12"/>
      <color rgb="FFB8D4C8"/>
      <name val="Calibri"/>
      <charset val="1"/>
    </font>
    <font>
      <sz val="9"/>
      <color rgb="FF99C2AD"/>
      <name val="Calibri"/>
      <charset val="1"/>
    </font>
    <font>
      <b/>
      <sz val="10"/>
      <color rgb="FFFFFFFF"/>
      <name val="Calibri"/>
      <charset val="1"/>
    </font>
    <font>
      <b/>
      <sz val="9"/>
      <color rgb="FF666666"/>
      <name val="Calibri"/>
      <charset val="1"/>
    </font>
    <font>
      <b/>
      <sz val="14"/>
      <color rgb="FF006B42"/>
      <name val="Calibri"/>
      <charset val="1"/>
    </font>
    <font>
      <sz val="9"/>
      <color rgb="FF666666"/>
      <name val="Calibri"/>
      <charset val="1"/>
    </font>
    <font>
      <sz val="8"/>
      <color rgb="FF999999"/>
      <name val="Calibri"/>
      <charset val="1"/>
    </font>
    <font>
      <b/>
      <sz val="14"/>
      <color rgb="FFFFFFFF"/>
      <name val="Calibri"/>
      <charset val="1"/>
    </font>
    <font>
      <b/>
      <sz val="10"/>
      <color rgb="FF0000FF"/>
      <name val="Calibri"/>
      <charset val="1"/>
    </font>
    <font>
      <sz val="7"/>
      <color rgb="FF999999"/>
      <name val="Calibri"/>
      <charset val="1"/>
    </font>
    <font>
      <sz val="10"/>
      <color rgb="FF008000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sz val="10"/>
      <color rgb="FFC62828"/>
      <name val="Calibri"/>
      <charset val="1"/>
    </font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9"/>
      <color rgb="FF4A148C"/>
      <name val="Calibri"/>
      <charset val="1"/>
    </font>
    <font>
      <sz val="9"/>
      <color rgb="FFC62828"/>
      <name val="Calibri"/>
      <charset val="1"/>
    </font>
    <font>
      <sz val="9"/>
      <color rgb="FF757575"/>
      <name val="Calibri"/>
      <charset val="1"/>
    </font>
    <font>
      <b/>
      <sz val="11"/>
      <color rgb="FF000000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sz val="11"/>
      <color rgb="FF0000FF"/>
      <name val="Cambria"/>
      <charset val="1"/>
    </font>
    <font>
      <sz val="10"/>
      <name val="Arial"/>
      <family val="2"/>
    </font>
    <font>
      <b/>
      <sz val="10"/>
      <name val="Calibri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9"/>
      <color rgb="FF000000"/>
      <name val="Calibri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10"/>
      <color rgb="FF000000"/>
      <name val="Arial"/>
      <charset val="1"/>
    </font>
    <font>
      <sz val="10"/>
      <color rgb="FF006600"/>
      <name val="Calibri"/>
      <family val="2"/>
    </font>
    <font>
      <sz val="11"/>
      <color rgb="FF006600"/>
      <name val="Calibri"/>
      <family val="2"/>
    </font>
    <font>
      <b/>
      <sz val="13"/>
      <color rgb="FFFFFFFF"/>
      <name val="Calibri"/>
    </font>
    <font>
      <sz val="9"/>
      <color rgb="FF333333"/>
      <name val="Calibri"/>
    </font>
    <font>
      <b/>
      <sz val="9"/>
      <color rgb="FF006B42"/>
      <name val="Calibri"/>
    </font>
    <font>
      <b/>
      <u/>
      <sz val="9"/>
      <color rgb="FF006B42"/>
      <name val="Calibri"/>
    </font>
    <font>
      <b/>
      <sz val="9"/>
      <color rgb="FF333333"/>
      <name val="Calibri"/>
    </font>
    <font>
      <u/>
      <sz val="9"/>
      <color rgb="FF333333"/>
      <name val="Calibri"/>
    </font>
    <font>
      <b/>
      <sz val="10"/>
      <color rgb="FFFFFFFF"/>
      <name val="Calibri"/>
    </font>
    <font>
      <b/>
      <sz val="9"/>
      <color rgb="FF666666"/>
      <name val="Calibri"/>
    </font>
    <font>
      <b/>
      <sz val="14"/>
      <color rgb="FF006B42"/>
      <name val="Calibri"/>
    </font>
    <font>
      <sz val="9"/>
      <color rgb="FF666666"/>
      <name val="Calibri"/>
    </font>
    <font>
      <sz val="8"/>
      <color rgb="FF999999"/>
      <name val="Calibri"/>
    </font>
    <font>
      <b/>
      <sz val="9"/>
      <color rgb="FF000000"/>
      <name val="Calibri"/>
    </font>
    <font>
      <sz val="9"/>
      <color rgb="FF999999"/>
      <name val="Calibri"/>
    </font>
    <font>
      <sz val="9"/>
      <color rgb="FF008000"/>
      <name val="Calibri"/>
    </font>
    <font>
      <b/>
      <sz val="9"/>
      <color rgb="FF008000"/>
      <name val="Calibri"/>
      <charset val="1"/>
    </font>
    <font>
      <b/>
      <sz val="9"/>
      <color rgb="FF008000"/>
      <name val="Calibri"/>
    </font>
    <font>
      <sz val="9"/>
      <color rgb="FFC62828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9"/>
      <color rgb="FF0000FF"/>
      <name val="Calibri"/>
    </font>
    <font>
      <b/>
      <sz val="9"/>
      <name val="Calibri"/>
    </font>
    <font>
      <i/>
      <sz val="9"/>
      <color rgb="FF666666"/>
      <name val="Calibri"/>
    </font>
    <font>
      <i/>
      <sz val="9"/>
      <color rgb="FF333333"/>
      <name val="Calibri"/>
    </font>
    <font>
      <b/>
      <i/>
      <sz val="9"/>
      <color rgb="FF333333"/>
      <name val="Calibri"/>
    </font>
    <font>
      <b/>
      <sz val="9"/>
      <color theme="1"/>
      <name val="Calibri"/>
    </font>
    <font>
      <b/>
      <sz val="9"/>
      <color theme="1"/>
      <name val="Calibri"/>
      <family val="2"/>
      <charset val="1"/>
    </font>
    <font>
      <sz val="10"/>
      <color rgb="FFFF0000"/>
      <name val="Calibri"/>
      <family val="2"/>
    </font>
    <font>
      <b/>
      <sz val="10"/>
      <color rgb="FF006B42"/>
      <name val="Calibri"/>
      <charset val="1"/>
    </font>
    <font>
      <b/>
      <sz val="11"/>
      <color theme="0"/>
      <name val="Calibri"/>
      <family val="2"/>
    </font>
    <font>
      <sz val="9"/>
      <color rgb="FF008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6B42"/>
        <bgColor rgb="FF1B5E20"/>
      </patternFill>
    </fill>
    <fill>
      <patternFill patternType="solid">
        <fgColor rgb="FFF2F4F7"/>
        <bgColor rgb="FFF5F5F5"/>
      </patternFill>
    </fill>
    <fill>
      <patternFill patternType="solid">
        <fgColor rgb="FFFFFFFF"/>
        <bgColor rgb="FFFEFCE8"/>
      </patternFill>
    </fill>
    <fill>
      <patternFill patternType="solid">
        <fgColor rgb="FFFEFCE8"/>
        <bgColor rgb="FFFFFFFF"/>
      </patternFill>
    </fill>
    <fill>
      <patternFill patternType="solid">
        <fgColor rgb="FFE0E0E0"/>
        <bgColor rgb="FFD9D9D9"/>
      </patternFill>
    </fill>
    <fill>
      <patternFill patternType="solid">
        <fgColor rgb="FFFFEBEE"/>
        <bgColor rgb="FFF2F2F2"/>
      </patternFill>
    </fill>
    <fill>
      <patternFill patternType="solid">
        <fgColor rgb="FFE8F5EF"/>
        <bgColor rgb="FFEBF5FB"/>
      </patternFill>
    </fill>
    <fill>
      <patternFill patternType="solid">
        <fgColor rgb="FFEBF5FB"/>
        <bgColor rgb="FFF2F4F7"/>
      </patternFill>
    </fill>
    <fill>
      <patternFill patternType="solid">
        <fgColor rgb="FFF5F5F5"/>
        <bgColor rgb="FFF2F4F7"/>
      </patternFill>
    </fill>
    <fill>
      <patternFill patternType="solid">
        <fgColor rgb="FFE3F2FD"/>
        <bgColor rgb="FFEBF5FB"/>
      </patternFill>
    </fill>
    <fill>
      <patternFill patternType="solid">
        <fgColor rgb="FFF2F2F2"/>
        <bgColor rgb="FFF2F4F7"/>
      </patternFill>
    </fill>
    <fill>
      <patternFill patternType="solid">
        <fgColor rgb="FFD3D3D3"/>
        <bgColor rgb="FFD0D0D0"/>
      </patternFill>
    </fill>
    <fill>
      <patternFill patternType="solid">
        <fgColor rgb="FFD9E1F2"/>
        <bgColor rgb="FFE0E0E0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006B42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E8F5EF"/>
        <bgColor indexed="64"/>
      </patternFill>
    </fill>
    <fill>
      <patternFill patternType="solid">
        <fgColor rgb="FFEBF5FB"/>
        <bgColor indexed="64"/>
      </patternFill>
    </fill>
  </fills>
  <borders count="1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006B4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6B42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00965E"/>
      </bottom>
      <diagonal/>
    </border>
    <border>
      <left/>
      <right style="thin">
        <color rgb="FFCCCCCC"/>
      </right>
      <top/>
      <bottom style="thin">
        <color rgb="FFD0D0D0"/>
      </bottom>
      <diagonal/>
    </border>
    <border>
      <left/>
      <right/>
      <top style="medium">
        <color rgb="FF00965E"/>
      </top>
      <bottom/>
      <diagonal/>
    </border>
    <border>
      <left/>
      <right style="thin">
        <color rgb="FF00965E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006B42"/>
      </top>
      <bottom style="medium">
        <color rgb="FF006B4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006B42"/>
      </top>
      <bottom style="thin">
        <color rgb="FFD0D0D0"/>
      </bottom>
      <diagonal/>
    </border>
    <border>
      <left/>
      <right/>
      <top style="thin">
        <color rgb="FF006B42"/>
      </top>
      <bottom/>
      <diagonal/>
    </border>
    <border>
      <left style="thin">
        <color rgb="FF00965E"/>
      </left>
      <right style="thin">
        <color rgb="FF00965E"/>
      </right>
      <top style="thin">
        <color rgb="FF006B42"/>
      </top>
      <bottom style="thin">
        <color rgb="FF00965E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10" fillId="5" borderId="1" xfId="0" applyFont="1" applyFill="1" applyBorder="1" applyAlignment="1">
      <alignment horizontal="center" vertical="center"/>
    </xf>
    <xf numFmtId="0" fontId="0" fillId="0" borderId="4" xfId="0" applyBorder="1"/>
    <xf numFmtId="0" fontId="14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4" borderId="0" xfId="0" applyFont="1" applyFill="1"/>
    <xf numFmtId="0" fontId="14" fillId="0" borderId="0" xfId="0" applyFont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left" vertical="center"/>
    </xf>
    <xf numFmtId="3" fontId="15" fillId="5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left" vertical="center"/>
    </xf>
    <xf numFmtId="0" fontId="13" fillId="6" borderId="6" xfId="0" applyFont="1" applyFill="1" applyBorder="1" applyAlignment="1">
      <alignment horizontal="left" vertical="center"/>
    </xf>
    <xf numFmtId="0" fontId="17" fillId="2" borderId="0" xfId="0" applyFont="1" applyFill="1"/>
    <xf numFmtId="0" fontId="18" fillId="2" borderId="8" xfId="0" applyFont="1" applyFill="1" applyBorder="1" applyAlignment="1">
      <alignment horizontal="left" vertical="center"/>
    </xf>
    <xf numFmtId="2" fontId="12" fillId="9" borderId="7" xfId="0" applyNumberFormat="1" applyFont="1" applyFill="1" applyBorder="1" applyAlignment="1">
      <alignment horizontal="center" vertical="center"/>
    </xf>
    <xf numFmtId="167" fontId="14" fillId="9" borderId="7" xfId="0" applyNumberFormat="1" applyFont="1" applyFill="1" applyBorder="1" applyAlignment="1">
      <alignment horizontal="center" vertical="center"/>
    </xf>
    <xf numFmtId="10" fontId="14" fillId="9" borderId="7" xfId="0" applyNumberFormat="1" applyFont="1" applyFill="1" applyBorder="1" applyAlignment="1">
      <alignment horizontal="center" vertical="center"/>
    </xf>
    <xf numFmtId="2" fontId="14" fillId="9" borderId="7" xfId="0" applyNumberFormat="1" applyFont="1" applyFill="1" applyBorder="1" applyAlignment="1">
      <alignment horizontal="center" vertical="center"/>
    </xf>
    <xf numFmtId="1" fontId="14" fillId="9" borderId="7" xfId="0" applyNumberFormat="1" applyFont="1" applyFill="1" applyBorder="1" applyAlignment="1">
      <alignment horizontal="center" vertical="center"/>
    </xf>
    <xf numFmtId="10" fontId="21" fillId="10" borderId="7" xfId="0" applyNumberFormat="1" applyFont="1" applyFill="1" applyBorder="1" applyAlignment="1">
      <alignment horizontal="left" vertical="center" wrapText="1"/>
    </xf>
    <xf numFmtId="164" fontId="21" fillId="10" borderId="7" xfId="0" applyNumberFormat="1" applyFont="1" applyFill="1" applyBorder="1" applyAlignment="1">
      <alignment horizontal="left" vertical="center" wrapText="1"/>
    </xf>
    <xf numFmtId="10" fontId="15" fillId="5" borderId="7" xfId="0" applyNumberFormat="1" applyFont="1" applyFill="1" applyBorder="1" applyAlignment="1">
      <alignment horizontal="center" vertical="center"/>
    </xf>
    <xf numFmtId="0" fontId="21" fillId="10" borderId="0" xfId="0" applyFont="1" applyFill="1"/>
    <xf numFmtId="0" fontId="21" fillId="10" borderId="7" xfId="0" applyFont="1" applyFill="1" applyBorder="1" applyAlignment="1">
      <alignment horizontal="left" vertical="center" wrapText="1"/>
    </xf>
    <xf numFmtId="10" fontId="21" fillId="11" borderId="5" xfId="0" applyNumberFormat="1" applyFont="1" applyFill="1" applyBorder="1" applyAlignment="1">
      <alignment horizontal="center" vertical="center"/>
    </xf>
    <xf numFmtId="0" fontId="21" fillId="10" borderId="0" xfId="0" applyFont="1" applyFill="1" applyAlignment="1">
      <alignment horizontal="left" vertical="center" wrapText="1"/>
    </xf>
    <xf numFmtId="0" fontId="14" fillId="9" borderId="7" xfId="0" applyFont="1" applyFill="1" applyBorder="1" applyAlignment="1">
      <alignment horizontal="center" vertical="center"/>
    </xf>
    <xf numFmtId="15" fontId="14" fillId="9" borderId="7" xfId="0" applyNumberFormat="1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vertical="center"/>
    </xf>
    <xf numFmtId="3" fontId="12" fillId="9" borderId="7" xfId="0" applyNumberFormat="1" applyFont="1" applyFill="1" applyBorder="1" applyAlignment="1">
      <alignment horizontal="center" vertical="center"/>
    </xf>
    <xf numFmtId="3" fontId="14" fillId="9" borderId="7" xfId="0" applyNumberFormat="1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left" vertical="center"/>
    </xf>
    <xf numFmtId="164" fontId="14" fillId="9" borderId="7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164" fontId="14" fillId="9" borderId="0" xfId="0" applyNumberFormat="1" applyFont="1" applyFill="1" applyAlignment="1">
      <alignment horizontal="center" vertical="center"/>
    </xf>
    <xf numFmtId="0" fontId="22" fillId="2" borderId="0" xfId="0" applyFont="1" applyFill="1"/>
    <xf numFmtId="0" fontId="16" fillId="12" borderId="0" xfId="0" applyFont="1" applyFill="1"/>
    <xf numFmtId="10" fontId="14" fillId="0" borderId="0" xfId="0" applyNumberFormat="1" applyFont="1"/>
    <xf numFmtId="9" fontId="25" fillId="5" borderId="7" xfId="0" applyNumberFormat="1" applyFont="1" applyFill="1" applyBorder="1" applyAlignment="1">
      <alignment horizontal="center" vertical="center"/>
    </xf>
    <xf numFmtId="164" fontId="15" fillId="5" borderId="7" xfId="0" applyNumberFormat="1" applyFont="1" applyFill="1" applyBorder="1" applyAlignment="1">
      <alignment horizontal="center" vertical="center"/>
    </xf>
    <xf numFmtId="0" fontId="27" fillId="5" borderId="0" xfId="0" applyFont="1" applyFill="1"/>
    <xf numFmtId="10" fontId="12" fillId="9" borderId="7" xfId="0" applyNumberFormat="1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left" vertical="center"/>
    </xf>
    <xf numFmtId="3" fontId="14" fillId="0" borderId="0" xfId="0" applyNumberFormat="1" applyFont="1"/>
    <xf numFmtId="3" fontId="14" fillId="4" borderId="0" xfId="0" applyNumberFormat="1" applyFont="1" applyFill="1"/>
    <xf numFmtId="0" fontId="14" fillId="4" borderId="7" xfId="0" applyFont="1" applyFill="1" applyBorder="1" applyAlignment="1">
      <alignment horizontal="center" vertical="center"/>
    </xf>
    <xf numFmtId="0" fontId="29" fillId="7" borderId="7" xfId="0" applyFont="1" applyFill="1" applyBorder="1" applyAlignment="1">
      <alignment horizontal="left" vertical="center"/>
    </xf>
    <xf numFmtId="3" fontId="14" fillId="4" borderId="7" xfId="0" applyNumberFormat="1" applyFont="1" applyFill="1" applyBorder="1" applyAlignment="1">
      <alignment horizontal="center" vertical="center"/>
    </xf>
    <xf numFmtId="3" fontId="14" fillId="5" borderId="7" xfId="0" applyNumberFormat="1" applyFont="1" applyFill="1" applyBorder="1" applyAlignment="1">
      <alignment horizontal="center" vertical="center"/>
    </xf>
    <xf numFmtId="3" fontId="16" fillId="7" borderId="0" xfId="0" applyNumberFormat="1" applyFont="1" applyFill="1"/>
    <xf numFmtId="3" fontId="18" fillId="2" borderId="8" xfId="0" applyNumberFormat="1" applyFont="1" applyFill="1" applyBorder="1" applyAlignment="1">
      <alignment horizontal="left" vertical="center"/>
    </xf>
    <xf numFmtId="170" fontId="4" fillId="2" borderId="5" xfId="0" applyNumberFormat="1" applyFont="1" applyFill="1" applyBorder="1" applyAlignment="1">
      <alignment horizontal="center" vertical="center"/>
    </xf>
    <xf numFmtId="170" fontId="14" fillId="0" borderId="0" xfId="0" applyNumberFormat="1" applyFont="1"/>
    <xf numFmtId="10" fontId="14" fillId="5" borderId="7" xfId="0" applyNumberFormat="1" applyFont="1" applyFill="1" applyBorder="1" applyAlignment="1">
      <alignment horizontal="center" vertical="center"/>
    </xf>
    <xf numFmtId="0" fontId="13" fillId="12" borderId="0" xfId="0" applyFont="1" applyFill="1"/>
    <xf numFmtId="10" fontId="12" fillId="0" borderId="0" xfId="0" applyNumberFormat="1" applyFont="1"/>
    <xf numFmtId="0" fontId="30" fillId="9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0" fillId="4" borderId="0" xfId="0" applyFill="1"/>
    <xf numFmtId="0" fontId="30" fillId="7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171" fontId="14" fillId="9" borderId="0" xfId="0" applyNumberFormat="1" applyFont="1" applyFill="1" applyAlignment="1">
      <alignment horizontal="center" vertical="center"/>
    </xf>
    <xf numFmtId="168" fontId="12" fillId="9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168" fontId="14" fillId="9" borderId="0" xfId="0" applyNumberFormat="1" applyFont="1" applyFill="1" applyAlignment="1">
      <alignment horizontal="center" vertical="center"/>
    </xf>
    <xf numFmtId="171" fontId="14" fillId="4" borderId="0" xfId="0" applyNumberFormat="1" applyFont="1" applyFill="1" applyAlignment="1">
      <alignment horizontal="center" vertical="center"/>
    </xf>
    <xf numFmtId="171" fontId="13" fillId="6" borderId="0" xfId="0" applyNumberFormat="1" applyFont="1" applyFill="1" applyAlignment="1">
      <alignment horizontal="center" vertical="center"/>
    </xf>
    <xf numFmtId="172" fontId="14" fillId="4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171" fontId="14" fillId="7" borderId="0" xfId="0" applyNumberFormat="1" applyFont="1" applyFill="1" applyAlignment="1">
      <alignment horizontal="center" vertical="center"/>
    </xf>
    <xf numFmtId="172" fontId="14" fillId="7" borderId="0" xfId="0" applyNumberFormat="1" applyFont="1" applyFill="1" applyAlignment="1">
      <alignment horizontal="center" vertical="center"/>
    </xf>
    <xf numFmtId="171" fontId="14" fillId="5" borderId="0" xfId="0" applyNumberFormat="1" applyFont="1" applyFill="1" applyAlignment="1">
      <alignment horizontal="center" vertical="center"/>
    </xf>
    <xf numFmtId="172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72" fontId="14" fillId="9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171" fontId="14" fillId="8" borderId="0" xfId="0" applyNumberFormat="1" applyFont="1" applyFill="1" applyAlignment="1">
      <alignment horizontal="center" vertical="center"/>
    </xf>
    <xf numFmtId="172" fontId="14" fillId="8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171" fontId="14" fillId="14" borderId="0" xfId="0" applyNumberFormat="1" applyFont="1" applyFill="1" applyAlignment="1">
      <alignment horizontal="center" vertical="center"/>
    </xf>
    <xf numFmtId="172" fontId="14" fillId="1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72" fontId="12" fillId="9" borderId="0" xfId="0" applyNumberFormat="1" applyFont="1" applyFill="1" applyAlignment="1">
      <alignment horizontal="center" vertical="center"/>
    </xf>
    <xf numFmtId="10" fontId="12" fillId="9" borderId="7" xfId="0" applyNumberFormat="1" applyFont="1" applyFill="1" applyBorder="1" applyAlignment="1">
      <alignment horizontal="right"/>
    </xf>
    <xf numFmtId="0" fontId="0" fillId="12" borderId="0" xfId="0" applyFill="1"/>
    <xf numFmtId="0" fontId="31" fillId="0" borderId="0" xfId="0" applyFont="1" applyAlignment="1">
      <alignment horizontal="left" vertical="center"/>
    </xf>
    <xf numFmtId="3" fontId="32" fillId="9" borderId="0" xfId="0" applyNumberFormat="1" applyFont="1" applyFill="1" applyAlignment="1">
      <alignment horizontal="right" vertical="center"/>
    </xf>
    <xf numFmtId="10" fontId="32" fillId="9" borderId="0" xfId="0" applyNumberFormat="1" applyFont="1" applyFill="1" applyAlignment="1">
      <alignment horizontal="right" vertical="center"/>
    </xf>
    <xf numFmtId="0" fontId="33" fillId="2" borderId="0" xfId="0" applyFont="1" applyFill="1" applyAlignment="1">
      <alignment horizontal="left" vertical="center"/>
    </xf>
    <xf numFmtId="164" fontId="32" fillId="9" borderId="0" xfId="0" applyNumberFormat="1" applyFont="1" applyFill="1" applyAlignment="1">
      <alignment horizontal="right" vertical="center"/>
    </xf>
    <xf numFmtId="0" fontId="34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left" vertical="center"/>
    </xf>
    <xf numFmtId="165" fontId="35" fillId="5" borderId="0" xfId="0" applyNumberFormat="1" applyFont="1" applyFill="1" applyAlignment="1">
      <alignment horizontal="center" vertical="center"/>
    </xf>
    <xf numFmtId="10" fontId="31" fillId="9" borderId="0" xfId="0" applyNumberFormat="1" applyFont="1" applyFill="1" applyAlignment="1">
      <alignment horizontal="right" vertical="center"/>
    </xf>
    <xf numFmtId="3" fontId="31" fillId="9" borderId="0" xfId="0" applyNumberFormat="1" applyFont="1" applyFill="1" applyAlignment="1">
      <alignment horizontal="right" vertical="center"/>
    </xf>
    <xf numFmtId="0" fontId="31" fillId="9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3" fontId="34" fillId="5" borderId="0" xfId="0" applyNumberFormat="1" applyFont="1" applyFill="1" applyAlignment="1">
      <alignment horizontal="right" vertical="center"/>
    </xf>
    <xf numFmtId="2" fontId="35" fillId="5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6" borderId="0" xfId="0" applyFont="1" applyFill="1" applyAlignment="1">
      <alignment horizontal="left" vertical="center"/>
    </xf>
    <xf numFmtId="2" fontId="31" fillId="9" borderId="0" xfId="0" applyNumberFormat="1" applyFont="1" applyFill="1" applyAlignment="1">
      <alignment horizontal="right" vertical="center"/>
    </xf>
    <xf numFmtId="173" fontId="31" fillId="9" borderId="0" xfId="0" applyNumberFormat="1" applyFont="1" applyFill="1" applyAlignment="1">
      <alignment horizontal="right" vertical="center"/>
    </xf>
    <xf numFmtId="166" fontId="31" fillId="9" borderId="0" xfId="0" applyNumberFormat="1" applyFont="1" applyFill="1" applyAlignment="1">
      <alignment horizontal="right" vertical="center"/>
    </xf>
    <xf numFmtId="164" fontId="31" fillId="9" borderId="0" xfId="0" applyNumberFormat="1" applyFont="1" applyFill="1" applyAlignment="1">
      <alignment horizontal="right" vertical="center"/>
    </xf>
    <xf numFmtId="174" fontId="35" fillId="5" borderId="0" xfId="0" applyNumberFormat="1" applyFont="1" applyFill="1" applyAlignment="1">
      <alignment horizontal="center" vertical="center"/>
    </xf>
    <xf numFmtId="3" fontId="35" fillId="5" borderId="0" xfId="0" applyNumberFormat="1" applyFont="1" applyFill="1" applyAlignment="1">
      <alignment horizontal="right" vertical="center"/>
    </xf>
    <xf numFmtId="164" fontId="35" fillId="5" borderId="0" xfId="0" applyNumberFormat="1" applyFont="1" applyFill="1" applyAlignment="1">
      <alignment horizontal="right" vertical="center"/>
    </xf>
    <xf numFmtId="0" fontId="31" fillId="9" borderId="0" xfId="0" applyFont="1" applyFill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31" fillId="9" borderId="0" xfId="0" applyNumberFormat="1" applyFont="1" applyFill="1" applyAlignment="1">
      <alignment horizontal="right" vertical="center"/>
    </xf>
    <xf numFmtId="9" fontId="32" fillId="9" borderId="0" xfId="0" applyNumberFormat="1" applyFont="1" applyFill="1" applyAlignment="1">
      <alignment horizontal="right" vertical="center"/>
    </xf>
    <xf numFmtId="171" fontId="37" fillId="5" borderId="0" xfId="0" applyNumberFormat="1" applyFont="1" applyFill="1" applyAlignment="1">
      <alignment horizontal="center" vertical="center"/>
    </xf>
    <xf numFmtId="172" fontId="37" fillId="5" borderId="0" xfId="0" applyNumberFormat="1" applyFont="1" applyFill="1" applyAlignment="1">
      <alignment horizontal="center" vertical="center"/>
    </xf>
    <xf numFmtId="0" fontId="37" fillId="5" borderId="0" xfId="0" applyFont="1" applyFill="1" applyAlignment="1">
      <alignment horizontal="left" vertical="center"/>
    </xf>
    <xf numFmtId="0" fontId="38" fillId="0" borderId="0" xfId="0" applyFont="1"/>
    <xf numFmtId="0" fontId="0" fillId="15" borderId="0" xfId="0" applyFill="1"/>
    <xf numFmtId="0" fontId="41" fillId="18" borderId="12" xfId="0" applyFont="1" applyFill="1" applyBorder="1" applyAlignment="1">
      <alignment horizontal="left" vertical="center"/>
    </xf>
    <xf numFmtId="0" fontId="41" fillId="19" borderId="12" xfId="0" applyFont="1" applyFill="1" applyBorder="1" applyAlignment="1">
      <alignment horizontal="left" vertical="center"/>
    </xf>
    <xf numFmtId="0" fontId="5" fillId="16" borderId="12" xfId="0" applyFont="1" applyFill="1" applyBorder="1" applyAlignment="1">
      <alignment horizontal="left" vertical="center"/>
    </xf>
    <xf numFmtId="0" fontId="42" fillId="18" borderId="12" xfId="0" applyFont="1" applyFill="1" applyBorder="1" applyAlignment="1">
      <alignment horizontal="left" vertical="center"/>
    </xf>
    <xf numFmtId="0" fontId="42" fillId="19" borderId="12" xfId="0" applyFont="1" applyFill="1" applyBorder="1" applyAlignment="1">
      <alignment horizontal="left" vertical="center"/>
    </xf>
    <xf numFmtId="0" fontId="5" fillId="16" borderId="12" xfId="0" applyFont="1" applyFill="1" applyBorder="1" applyAlignment="1">
      <alignment horizontal="center" vertical="center"/>
    </xf>
    <xf numFmtId="4" fontId="6" fillId="3" borderId="12" xfId="0" applyNumberFormat="1" applyFont="1" applyFill="1" applyBorder="1" applyAlignment="1">
      <alignment horizontal="center" vertical="center"/>
    </xf>
    <xf numFmtId="10" fontId="6" fillId="3" borderId="12" xfId="0" applyNumberFormat="1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" fontId="11" fillId="19" borderId="0" xfId="0" applyNumberFormat="1" applyFont="1" applyFill="1" applyAlignment="1">
      <alignment horizontal="center"/>
    </xf>
    <xf numFmtId="0" fontId="45" fillId="17" borderId="0" xfId="0" applyFont="1" applyFill="1" applyAlignment="1">
      <alignment horizontal="left" vertical="center"/>
    </xf>
    <xf numFmtId="0" fontId="45" fillId="17" borderId="0" xfId="0" applyFont="1" applyFill="1" applyAlignment="1">
      <alignment horizontal="right" vertical="center"/>
    </xf>
    <xf numFmtId="0" fontId="45" fillId="17" borderId="4" xfId="0" applyFont="1" applyFill="1" applyBorder="1"/>
    <xf numFmtId="0" fontId="45" fillId="17" borderId="0" xfId="0" applyFont="1" applyFill="1"/>
    <xf numFmtId="0" fontId="39" fillId="17" borderId="0" xfId="0" applyFont="1" applyFill="1" applyAlignment="1">
      <alignment horizontal="center" vertical="center"/>
    </xf>
    <xf numFmtId="0" fontId="46" fillId="18" borderId="0" xfId="0" applyFont="1" applyFill="1" applyAlignment="1">
      <alignment horizontal="center" vertical="center"/>
    </xf>
    <xf numFmtId="4" fontId="47" fillId="18" borderId="0" xfId="0" applyNumberFormat="1" applyFont="1" applyFill="1" applyAlignment="1">
      <alignment horizontal="right" vertical="center"/>
    </xf>
    <xf numFmtId="10" fontId="47" fillId="18" borderId="0" xfId="0" applyNumberFormat="1" applyFont="1" applyFill="1" applyAlignment="1">
      <alignment horizontal="right" vertical="center"/>
    </xf>
    <xf numFmtId="2" fontId="47" fillId="18" borderId="0" xfId="0" applyNumberFormat="1" applyFont="1" applyFill="1" applyAlignment="1">
      <alignment horizontal="right" vertical="center"/>
    </xf>
    <xf numFmtId="164" fontId="47" fillId="18" borderId="0" xfId="0" applyNumberFormat="1" applyFont="1" applyFill="1" applyAlignment="1">
      <alignment horizontal="right" vertical="center"/>
    </xf>
    <xf numFmtId="4" fontId="48" fillId="18" borderId="0" xfId="0" applyNumberFormat="1" applyFont="1" applyFill="1" applyAlignment="1">
      <alignment horizontal="right"/>
    </xf>
    <xf numFmtId="10" fontId="48" fillId="18" borderId="0" xfId="0" applyNumberFormat="1" applyFont="1" applyFill="1" applyAlignment="1">
      <alignment horizontal="right"/>
    </xf>
    <xf numFmtId="2" fontId="48" fillId="18" borderId="0" xfId="0" applyNumberFormat="1" applyFont="1" applyFill="1" applyAlignment="1">
      <alignment horizontal="right"/>
    </xf>
    <xf numFmtId="49" fontId="48" fillId="18" borderId="0" xfId="0" applyNumberFormat="1" applyFont="1" applyFill="1" applyAlignment="1">
      <alignment horizontal="right"/>
    </xf>
    <xf numFmtId="0" fontId="49" fillId="18" borderId="0" xfId="0" applyFont="1" applyFill="1" applyAlignment="1">
      <alignment horizontal="right"/>
    </xf>
    <xf numFmtId="0" fontId="41" fillId="19" borderId="2" xfId="0" applyFont="1" applyFill="1" applyBorder="1"/>
    <xf numFmtId="0" fontId="40" fillId="19" borderId="0" xfId="0" applyFont="1" applyFill="1" applyAlignment="1">
      <alignment horizontal="left"/>
    </xf>
    <xf numFmtId="0" fontId="50" fillId="16" borderId="3" xfId="0" applyFont="1" applyFill="1" applyBorder="1" applyAlignment="1">
      <alignment horizontal="left"/>
    </xf>
    <xf numFmtId="0" fontId="51" fillId="19" borderId="0" xfId="0" applyFont="1" applyFill="1"/>
    <xf numFmtId="0" fontId="43" fillId="19" borderId="0" xfId="0" applyFont="1" applyFill="1" applyAlignment="1">
      <alignment horizontal="left"/>
    </xf>
    <xf numFmtId="3" fontId="52" fillId="19" borderId="0" xfId="0" applyNumberFormat="1" applyFont="1" applyFill="1" applyAlignment="1">
      <alignment horizontal="right"/>
    </xf>
    <xf numFmtId="3" fontId="54" fillId="16" borderId="3" xfId="0" applyNumberFormat="1" applyFont="1" applyFill="1" applyBorder="1" applyAlignment="1">
      <alignment horizontal="right"/>
    </xf>
    <xf numFmtId="0" fontId="50" fillId="16" borderId="3" xfId="0" applyFont="1" applyFill="1" applyBorder="1" applyAlignment="1">
      <alignment horizontal="right"/>
    </xf>
    <xf numFmtId="3" fontId="51" fillId="19" borderId="0" xfId="0" applyNumberFormat="1" applyFont="1" applyFill="1" applyAlignment="1">
      <alignment horizontal="right" vertical="center"/>
    </xf>
    <xf numFmtId="4" fontId="52" fillId="19" borderId="0" xfId="0" applyNumberFormat="1" applyFont="1" applyFill="1" applyAlignment="1">
      <alignment horizontal="right"/>
    </xf>
    <xf numFmtId="4" fontId="54" fillId="16" borderId="3" xfId="0" applyNumberFormat="1" applyFont="1" applyFill="1" applyBorder="1" applyAlignment="1">
      <alignment horizontal="right"/>
    </xf>
    <xf numFmtId="10" fontId="52" fillId="19" borderId="0" xfId="0" applyNumberFormat="1" applyFont="1" applyFill="1" applyAlignment="1">
      <alignment horizontal="right"/>
    </xf>
    <xf numFmtId="0" fontId="51" fillId="19" borderId="0" xfId="0" applyFont="1" applyFill="1" applyAlignment="1">
      <alignment horizontal="right"/>
    </xf>
    <xf numFmtId="164" fontId="52" fillId="19" borderId="0" xfId="0" applyNumberFormat="1" applyFont="1" applyFill="1" applyAlignment="1">
      <alignment horizontal="right"/>
    </xf>
    <xf numFmtId="165" fontId="52" fillId="19" borderId="0" xfId="0" applyNumberFormat="1" applyFont="1" applyFill="1" applyAlignment="1">
      <alignment horizontal="right"/>
    </xf>
    <xf numFmtId="166" fontId="52" fillId="19" borderId="0" xfId="0" applyNumberFormat="1" applyFont="1" applyFill="1" applyAlignment="1">
      <alignment horizontal="right"/>
    </xf>
    <xf numFmtId="0" fontId="55" fillId="19" borderId="7" xfId="0" applyFont="1" applyFill="1" applyBorder="1" applyAlignment="1">
      <alignment horizontal="left" vertical="center"/>
    </xf>
    <xf numFmtId="3" fontId="56" fillId="19" borderId="7" xfId="0" applyNumberFormat="1" applyFont="1" applyFill="1" applyBorder="1" applyAlignment="1">
      <alignment horizontal="center" vertical="center"/>
    </xf>
    <xf numFmtId="0" fontId="39" fillId="17" borderId="0" xfId="0" applyFont="1" applyFill="1" applyAlignment="1">
      <alignment horizontal="left" vertical="center"/>
    </xf>
    <xf numFmtId="0" fontId="41" fillId="18" borderId="5" xfId="0" applyFont="1" applyFill="1" applyBorder="1" applyAlignment="1">
      <alignment horizontal="left" vertical="center"/>
    </xf>
    <xf numFmtId="0" fontId="41" fillId="18" borderId="5" xfId="0" applyFont="1" applyFill="1" applyBorder="1" applyAlignment="1">
      <alignment horizontal="center" vertical="center"/>
    </xf>
    <xf numFmtId="0" fontId="40" fillId="19" borderId="7" xfId="0" applyFont="1" applyFill="1" applyBorder="1" applyAlignment="1">
      <alignment horizontal="left" vertical="center"/>
    </xf>
    <xf numFmtId="0" fontId="40" fillId="19" borderId="0" xfId="0" applyFont="1" applyFill="1" applyBorder="1" applyAlignment="1">
      <alignment horizontal="left" vertical="center"/>
    </xf>
    <xf numFmtId="3" fontId="50" fillId="16" borderId="13" xfId="0" applyNumberFormat="1" applyFont="1" applyFill="1" applyBorder="1" applyAlignment="1">
      <alignment horizontal="left" vertical="center"/>
    </xf>
    <xf numFmtId="3" fontId="57" fillId="19" borderId="14" xfId="0" applyNumberFormat="1" applyFont="1" applyFill="1" applyBorder="1" applyAlignment="1">
      <alignment horizontal="right" vertical="center"/>
    </xf>
    <xf numFmtId="3" fontId="58" fillId="16" borderId="15" xfId="0" applyNumberFormat="1" applyFont="1" applyFill="1" applyBorder="1" applyAlignment="1">
      <alignment horizontal="center" vertical="center"/>
    </xf>
    <xf numFmtId="3" fontId="56" fillId="19" borderId="0" xfId="0" applyNumberFormat="1" applyFont="1" applyFill="1" applyBorder="1" applyAlignment="1">
      <alignment horizontal="center" vertical="center"/>
    </xf>
    <xf numFmtId="0" fontId="50" fillId="16" borderId="13" xfId="0" applyFont="1" applyFill="1" applyBorder="1" applyAlignment="1">
      <alignment horizontal="left" vertical="center"/>
    </xf>
    <xf numFmtId="0" fontId="50" fillId="16" borderId="16" xfId="0" applyFont="1" applyFill="1" applyBorder="1" applyAlignment="1">
      <alignment horizontal="left" vertical="center"/>
    </xf>
    <xf numFmtId="3" fontId="58" fillId="16" borderId="16" xfId="0" applyNumberFormat="1" applyFont="1" applyFill="1" applyBorder="1" applyAlignment="1">
      <alignment horizontal="center" vertical="center"/>
    </xf>
    <xf numFmtId="0" fontId="16" fillId="19" borderId="7" xfId="0" applyFont="1" applyFill="1" applyBorder="1" applyAlignment="1">
      <alignment horizontal="left" vertical="center"/>
    </xf>
    <xf numFmtId="0" fontId="16" fillId="19" borderId="0" xfId="0" applyFont="1" applyFill="1"/>
    <xf numFmtId="0" fontId="24" fillId="19" borderId="0" xfId="0" applyFont="1" applyFill="1" applyAlignment="1">
      <alignment horizontal="left" vertical="center" wrapText="1"/>
    </xf>
    <xf numFmtId="0" fontId="13" fillId="19" borderId="0" xfId="0" applyFont="1" applyFill="1" applyAlignment="1">
      <alignment horizontal="left" vertical="center"/>
    </xf>
    <xf numFmtId="0" fontId="23" fillId="19" borderId="0" xfId="0" applyFont="1" applyFill="1"/>
    <xf numFmtId="0" fontId="27" fillId="16" borderId="0" xfId="0" applyFont="1" applyFill="1"/>
    <xf numFmtId="0" fontId="59" fillId="20" borderId="0" xfId="0" applyFont="1" applyFill="1"/>
    <xf numFmtId="10" fontId="52" fillId="20" borderId="0" xfId="0" applyNumberFormat="1" applyFont="1" applyFill="1" applyAlignment="1">
      <alignment horizontal="right" vertical="center"/>
    </xf>
    <xf numFmtId="168" fontId="57" fillId="20" borderId="0" xfId="0" applyNumberFormat="1" applyFont="1" applyFill="1" applyAlignment="1">
      <alignment horizontal="right" vertical="center"/>
    </xf>
    <xf numFmtId="10" fontId="57" fillId="20" borderId="0" xfId="0" applyNumberFormat="1" applyFont="1" applyFill="1" applyAlignment="1">
      <alignment horizontal="right" vertical="center"/>
    </xf>
    <xf numFmtId="168" fontId="14" fillId="19" borderId="0" xfId="0" applyNumberFormat="1" applyFont="1" applyFill="1" applyAlignment="1">
      <alignment horizontal="right" vertical="center"/>
    </xf>
    <xf numFmtId="0" fontId="40" fillId="19" borderId="0" xfId="0" applyFont="1" applyFill="1" applyAlignment="1">
      <alignment horizontal="left" vertical="center"/>
    </xf>
    <xf numFmtId="0" fontId="43" fillId="19" borderId="0" xfId="0" applyFont="1" applyFill="1"/>
    <xf numFmtId="169" fontId="40" fillId="19" borderId="0" xfId="0" applyNumberFormat="1" applyFont="1" applyFill="1" applyAlignment="1">
      <alignment horizontal="right"/>
    </xf>
    <xf numFmtId="0" fontId="60" fillId="19" borderId="0" xfId="0" applyFont="1" applyFill="1"/>
    <xf numFmtId="10" fontId="40" fillId="19" borderId="0" xfId="0" applyNumberFormat="1" applyFont="1" applyFill="1" applyAlignment="1">
      <alignment horizontal="right"/>
    </xf>
    <xf numFmtId="10" fontId="40" fillId="19" borderId="0" xfId="0" applyNumberFormat="1" applyFont="1" applyFill="1" applyAlignment="1">
      <alignment horizontal="right" vertical="center"/>
    </xf>
    <xf numFmtId="168" fontId="40" fillId="19" borderId="0" xfId="0" applyNumberFormat="1" applyFont="1" applyFill="1" applyAlignment="1">
      <alignment horizontal="right" vertical="center"/>
    </xf>
    <xf numFmtId="0" fontId="40" fillId="19" borderId="0" xfId="0" applyFont="1" applyFill="1"/>
    <xf numFmtId="10" fontId="52" fillId="19" borderId="0" xfId="0" applyNumberFormat="1" applyFont="1" applyFill="1" applyAlignment="1">
      <alignment horizontal="right" vertical="center"/>
    </xf>
    <xf numFmtId="0" fontId="46" fillId="18" borderId="0" xfId="0" applyFont="1" applyFill="1" applyAlignment="1">
      <alignment horizontal="center" vertical="center" wrapText="1"/>
    </xf>
    <xf numFmtId="0" fontId="16" fillId="21" borderId="0" xfId="0" applyFont="1" applyFill="1"/>
    <xf numFmtId="0" fontId="39" fillId="17" borderId="8" xfId="0" applyFont="1" applyFill="1" applyBorder="1" applyAlignment="1">
      <alignment horizontal="left" vertical="center"/>
    </xf>
    <xf numFmtId="0" fontId="39" fillId="17" borderId="0" xfId="0" applyFont="1" applyFill="1"/>
    <xf numFmtId="0" fontId="45" fillId="17" borderId="8" xfId="0" applyFont="1" applyFill="1" applyBorder="1" applyAlignment="1">
      <alignment horizontal="left" vertical="center"/>
    </xf>
    <xf numFmtId="0" fontId="45" fillId="17" borderId="7" xfId="0" applyFont="1" applyFill="1" applyBorder="1" applyAlignment="1">
      <alignment horizontal="left" vertical="center"/>
    </xf>
    <xf numFmtId="10" fontId="45" fillId="17" borderId="0" xfId="0" applyNumberFormat="1" applyFont="1" applyFill="1"/>
    <xf numFmtId="0" fontId="45" fillId="17" borderId="5" xfId="0" applyFont="1" applyFill="1" applyBorder="1" applyAlignment="1">
      <alignment horizontal="left" vertical="center"/>
    </xf>
    <xf numFmtId="0" fontId="45" fillId="17" borderId="5" xfId="0" applyFont="1" applyFill="1" applyBorder="1" applyAlignment="1">
      <alignment horizontal="center" vertical="center"/>
    </xf>
    <xf numFmtId="0" fontId="45" fillId="17" borderId="7" xfId="0" applyFont="1" applyFill="1" applyBorder="1" applyAlignment="1">
      <alignment horizontal="center" vertical="center"/>
    </xf>
    <xf numFmtId="0" fontId="45" fillId="17" borderId="7" xfId="0" applyFont="1" applyFill="1" applyBorder="1" applyAlignment="1">
      <alignment horizontal="left" vertical="center" wrapText="1"/>
    </xf>
    <xf numFmtId="0" fontId="43" fillId="19" borderId="6" xfId="0" applyFont="1" applyFill="1" applyBorder="1" applyAlignment="1">
      <alignment horizontal="left" vertical="center"/>
    </xf>
    <xf numFmtId="0" fontId="62" fillId="19" borderId="0" xfId="0" applyFont="1" applyFill="1"/>
    <xf numFmtId="0" fontId="61" fillId="19" borderId="8" xfId="0" applyFont="1" applyFill="1" applyBorder="1" applyAlignment="1">
      <alignment horizontal="left" vertical="center"/>
    </xf>
    <xf numFmtId="0" fontId="61" fillId="19" borderId="5" xfId="0" applyFont="1" applyFill="1" applyBorder="1" applyAlignment="1">
      <alignment horizontal="left" vertical="center"/>
    </xf>
    <xf numFmtId="0" fontId="43" fillId="19" borderId="7" xfId="0" applyFont="1" applyFill="1" applyBorder="1" applyAlignment="1">
      <alignment horizontal="left" vertical="center"/>
    </xf>
    <xf numFmtId="3" fontId="52" fillId="9" borderId="7" xfId="0" applyNumberFormat="1" applyFont="1" applyFill="1" applyBorder="1" applyAlignment="1">
      <alignment horizontal="center" vertical="center"/>
    </xf>
    <xf numFmtId="10" fontId="52" fillId="9" borderId="7" xfId="0" applyNumberFormat="1" applyFont="1" applyFill="1" applyBorder="1" applyAlignment="1">
      <alignment horizontal="center" vertical="center"/>
    </xf>
    <xf numFmtId="10" fontId="52" fillId="0" borderId="0" xfId="0" applyNumberFormat="1" applyFont="1"/>
    <xf numFmtId="3" fontId="57" fillId="9" borderId="7" xfId="0" applyNumberFormat="1" applyFont="1" applyFill="1" applyBorder="1" applyAlignment="1">
      <alignment horizontal="center" vertical="center"/>
    </xf>
    <xf numFmtId="3" fontId="54" fillId="5" borderId="11" xfId="0" applyNumberFormat="1" applyFont="1" applyFill="1" applyBorder="1" applyAlignment="1">
      <alignment horizontal="left" vertical="center"/>
    </xf>
    <xf numFmtId="3" fontId="52" fillId="0" borderId="0" xfId="0" applyNumberFormat="1" applyFont="1"/>
    <xf numFmtId="0" fontId="52" fillId="4" borderId="0" xfId="0" applyFont="1" applyFill="1"/>
    <xf numFmtId="3" fontId="52" fillId="4" borderId="0" xfId="0" applyNumberFormat="1" applyFont="1" applyFill="1"/>
    <xf numFmtId="3" fontId="54" fillId="2" borderId="8" xfId="0" applyNumberFormat="1" applyFont="1" applyFill="1" applyBorder="1" applyAlignment="1">
      <alignment horizontal="left" vertical="center"/>
    </xf>
    <xf numFmtId="10" fontId="57" fillId="9" borderId="7" xfId="0" applyNumberFormat="1" applyFont="1" applyFill="1" applyBorder="1" applyAlignment="1">
      <alignment horizontal="center" vertical="center"/>
    </xf>
    <xf numFmtId="2" fontId="56" fillId="19" borderId="7" xfId="0" applyNumberFormat="1" applyFont="1" applyFill="1" applyBorder="1" applyAlignment="1">
      <alignment horizontal="left" vertical="center"/>
    </xf>
    <xf numFmtId="10" fontId="56" fillId="4" borderId="7" xfId="0" applyNumberFormat="1" applyFont="1" applyFill="1" applyBorder="1" applyAlignment="1">
      <alignment horizontal="left" vertical="center"/>
    </xf>
    <xf numFmtId="0" fontId="43" fillId="16" borderId="6" xfId="0" applyFont="1" applyFill="1" applyBorder="1" applyAlignment="1">
      <alignment horizontal="left" vertical="center"/>
    </xf>
    <xf numFmtId="3" fontId="52" fillId="9" borderId="0" xfId="0" applyNumberFormat="1" applyFont="1" applyFill="1" applyBorder="1" applyAlignment="1">
      <alignment horizontal="center" vertical="center"/>
    </xf>
    <xf numFmtId="10" fontId="52" fillId="9" borderId="0" xfId="0" applyNumberFormat="1" applyFont="1" applyFill="1" applyBorder="1" applyAlignment="1">
      <alignment horizontal="center" vertical="center"/>
    </xf>
    <xf numFmtId="3" fontId="57" fillId="9" borderId="0" xfId="0" applyNumberFormat="1" applyFont="1" applyFill="1" applyBorder="1" applyAlignment="1">
      <alignment horizontal="center" vertical="center"/>
    </xf>
    <xf numFmtId="3" fontId="50" fillId="9" borderId="15" xfId="0" applyNumberFormat="1" applyFont="1" applyFill="1" applyBorder="1" applyAlignment="1">
      <alignment horizontal="center" vertical="center"/>
    </xf>
    <xf numFmtId="0" fontId="50" fillId="18" borderId="17" xfId="0" applyFont="1" applyFill="1" applyBorder="1"/>
    <xf numFmtId="0" fontId="63" fillId="0" borderId="16" xfId="0" applyFont="1" applyBorder="1"/>
    <xf numFmtId="0" fontId="50" fillId="0" borderId="16" xfId="0" applyFont="1" applyBorder="1"/>
    <xf numFmtId="0" fontId="43" fillId="16" borderId="13" xfId="0" applyFont="1" applyFill="1" applyBorder="1" applyAlignment="1">
      <alignment horizontal="left" vertical="center"/>
    </xf>
    <xf numFmtId="3" fontId="12" fillId="9" borderId="0" xfId="0" applyNumberFormat="1" applyFont="1" applyFill="1" applyBorder="1" applyAlignment="1">
      <alignment horizontal="center" vertical="center"/>
    </xf>
    <xf numFmtId="0" fontId="50" fillId="4" borderId="16" xfId="0" applyFont="1" applyFill="1" applyBorder="1"/>
    <xf numFmtId="10" fontId="57" fillId="9" borderId="0" xfId="0" applyNumberFormat="1" applyFont="1" applyFill="1" applyBorder="1" applyAlignment="1">
      <alignment horizontal="center" vertical="center"/>
    </xf>
    <xf numFmtId="10" fontId="12" fillId="9" borderId="0" xfId="0" applyNumberFormat="1" applyFont="1" applyFill="1" applyBorder="1" applyAlignment="1">
      <alignment horizontal="center" vertical="center"/>
    </xf>
    <xf numFmtId="0" fontId="50" fillId="4" borderId="15" xfId="0" applyFont="1" applyFill="1" applyBorder="1" applyAlignment="1">
      <alignment horizontal="center" vertical="center"/>
    </xf>
    <xf numFmtId="3" fontId="54" fillId="9" borderId="15" xfId="0" applyNumberFormat="1" applyFont="1" applyFill="1" applyBorder="1" applyAlignment="1">
      <alignment horizontal="center" vertical="center"/>
    </xf>
    <xf numFmtId="3" fontId="14" fillId="9" borderId="0" xfId="0" applyNumberFormat="1" applyFont="1" applyFill="1" applyBorder="1" applyAlignment="1">
      <alignment horizontal="center" vertical="center"/>
    </xf>
    <xf numFmtId="0" fontId="43" fillId="16" borderId="15" xfId="0" applyFont="1" applyFill="1" applyBorder="1" applyAlignment="1">
      <alignment horizontal="left" vertical="center"/>
    </xf>
    <xf numFmtId="10" fontId="50" fillId="9" borderId="15" xfId="0" applyNumberFormat="1" applyFont="1" applyFill="1" applyBorder="1" applyAlignment="1">
      <alignment horizontal="center" vertical="center"/>
    </xf>
    <xf numFmtId="3" fontId="14" fillId="5" borderId="0" xfId="0" applyNumberFormat="1" applyFont="1" applyFill="1" applyBorder="1" applyAlignment="1">
      <alignment horizontal="center" vertical="center"/>
    </xf>
    <xf numFmtId="3" fontId="50" fillId="0" borderId="16" xfId="0" applyNumberFormat="1" applyFont="1" applyBorder="1"/>
    <xf numFmtId="0" fontId="43" fillId="19" borderId="0" xfId="0" applyFont="1" applyFill="1" applyBorder="1" applyAlignment="1">
      <alignment horizontal="left" vertical="center"/>
    </xf>
    <xf numFmtId="10" fontId="54" fillId="9" borderId="15" xfId="0" applyNumberFormat="1" applyFont="1" applyFill="1" applyBorder="1" applyAlignment="1">
      <alignment horizontal="center" vertical="center"/>
    </xf>
    <xf numFmtId="0" fontId="45" fillId="17" borderId="14" xfId="0" applyFont="1" applyFill="1" applyBorder="1" applyAlignment="1">
      <alignment horizontal="left" vertical="center"/>
    </xf>
    <xf numFmtId="0" fontId="45" fillId="17" borderId="14" xfId="0" applyFont="1" applyFill="1" applyBorder="1" applyAlignment="1">
      <alignment horizontal="center" vertical="center"/>
    </xf>
    <xf numFmtId="0" fontId="43" fillId="19" borderId="13" xfId="0" applyFont="1" applyFill="1" applyBorder="1" applyAlignment="1">
      <alignment horizontal="left" vertical="center"/>
    </xf>
    <xf numFmtId="3" fontId="53" fillId="9" borderId="15" xfId="0" applyNumberFormat="1" applyFont="1" applyFill="1" applyBorder="1" applyAlignment="1">
      <alignment horizontal="center" vertical="center"/>
    </xf>
    <xf numFmtId="0" fontId="64" fillId="0" borderId="16" xfId="0" applyFont="1" applyBorder="1"/>
    <xf numFmtId="0" fontId="30" fillId="0" borderId="16" xfId="0" applyFont="1" applyBorder="1"/>
    <xf numFmtId="175" fontId="12" fillId="9" borderId="7" xfId="0" applyNumberFormat="1" applyFont="1" applyFill="1" applyBorder="1" applyAlignment="1">
      <alignment horizontal="center" vertical="center"/>
    </xf>
    <xf numFmtId="10" fontId="0" fillId="0" borderId="0" xfId="0" applyNumberFormat="1"/>
    <xf numFmtId="2" fontId="14" fillId="0" borderId="0" xfId="0" applyNumberFormat="1" applyFont="1"/>
    <xf numFmtId="10" fontId="63" fillId="0" borderId="16" xfId="0" applyNumberFormat="1" applyFont="1" applyBorder="1"/>
    <xf numFmtId="10" fontId="50" fillId="0" borderId="16" xfId="0" applyNumberFormat="1" applyFont="1" applyBorder="1"/>
    <xf numFmtId="164" fontId="65" fillId="9" borderId="7" xfId="0" applyNumberFormat="1" applyFont="1" applyFill="1" applyBorder="1" applyAlignment="1">
      <alignment horizontal="center" vertical="center"/>
    </xf>
    <xf numFmtId="0" fontId="18" fillId="17" borderId="0" xfId="0" applyFont="1" applyFill="1" applyAlignment="1">
      <alignment horizontal="left" vertical="center"/>
    </xf>
    <xf numFmtId="0" fontId="33" fillId="17" borderId="0" xfId="0" applyFont="1" applyFill="1" applyAlignment="1">
      <alignment horizontal="left" vertical="center"/>
    </xf>
    <xf numFmtId="0" fontId="66" fillId="21" borderId="7" xfId="0" applyFont="1" applyFill="1" applyBorder="1" applyAlignment="1">
      <alignment horizontal="left" vertical="center"/>
    </xf>
    <xf numFmtId="0" fontId="67" fillId="2" borderId="0" xfId="0" applyFont="1" applyFill="1"/>
    <xf numFmtId="0" fontId="67" fillId="2" borderId="0" xfId="0" applyFont="1" applyFill="1" applyAlignment="1">
      <alignment horizontal="left"/>
    </xf>
    <xf numFmtId="3" fontId="68" fillId="22" borderId="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40" fillId="0" borderId="0" xfId="0" applyFont="1" applyAlignment="1">
      <alignment horizontal="center" vertical="center"/>
    </xf>
    <xf numFmtId="0" fontId="43" fillId="19" borderId="12" xfId="0" applyFont="1" applyFill="1" applyBorder="1" applyAlignment="1">
      <alignment horizontal="left" vertical="center"/>
    </xf>
    <xf numFmtId="0" fontId="44" fillId="18" borderId="12" xfId="0" applyFont="1" applyFill="1" applyBorder="1" applyAlignment="1">
      <alignment horizontal="left" vertical="center"/>
    </xf>
    <xf numFmtId="0" fontId="44" fillId="19" borderId="12" xfId="0" applyFont="1" applyFill="1" applyBorder="1" applyAlignment="1">
      <alignment horizontal="left" vertical="center"/>
    </xf>
    <xf numFmtId="15" fontId="43" fillId="18" borderId="12" xfId="0" applyNumberFormat="1" applyFont="1" applyFill="1" applyBorder="1" applyAlignment="1">
      <alignment horizontal="left" vertical="center"/>
    </xf>
    <xf numFmtId="0" fontId="43" fillId="18" borderId="12" xfId="0" applyFont="1" applyFill="1" applyBorder="1" applyAlignment="1">
      <alignment horizontal="left" vertical="center"/>
    </xf>
    <xf numFmtId="0" fontId="39" fillId="17" borderId="0" xfId="0" applyFont="1" applyFill="1" applyAlignment="1">
      <alignment horizontal="left" vertical="center"/>
    </xf>
    <xf numFmtId="0" fontId="40" fillId="18" borderId="12" xfId="0" applyFont="1" applyFill="1" applyBorder="1" applyAlignment="1">
      <alignment horizontal="left" vertical="center" wrapText="1"/>
    </xf>
    <xf numFmtId="0" fontId="40" fillId="19" borderId="12" xfId="0" applyFont="1" applyFill="1" applyBorder="1" applyAlignment="1">
      <alignment horizontal="left" vertical="center" wrapText="1"/>
    </xf>
    <xf numFmtId="0" fontId="5" fillId="16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4" fontId="52" fillId="19" borderId="0" xfId="0" applyNumberFormat="1" applyFont="1" applyFill="1" applyAlignment="1">
      <alignment horizontal="right"/>
    </xf>
    <xf numFmtId="0" fontId="8" fillId="19" borderId="0" xfId="0" applyFont="1" applyFill="1"/>
    <xf numFmtId="0" fontId="45" fillId="17" borderId="0" xfId="0" applyFont="1" applyFill="1" applyAlignment="1">
      <alignment horizontal="left" vertical="center"/>
    </xf>
    <xf numFmtId="49" fontId="52" fillId="19" borderId="0" xfId="0" applyNumberFormat="1" applyFont="1" applyFill="1" applyAlignment="1">
      <alignment horizontal="right"/>
    </xf>
    <xf numFmtId="0" fontId="39" fillId="17" borderId="0" xfId="0" applyFont="1" applyFill="1"/>
    <xf numFmtId="0" fontId="7" fillId="19" borderId="0" xfId="0" applyFont="1" applyFill="1"/>
    <xf numFmtId="0" fontId="41" fillId="18" borderId="6" xfId="0" applyFont="1" applyFill="1" applyBorder="1" applyAlignment="1">
      <alignment horizontal="left" vertical="center"/>
    </xf>
    <xf numFmtId="0" fontId="40" fillId="19" borderId="7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67" fillId="2" borderId="0" xfId="0" applyFont="1" applyFill="1" applyAlignment="1">
      <alignment horizontal="center" vertical="center" wrapText="1"/>
    </xf>
    <xf numFmtId="0" fontId="67" fillId="2" borderId="0" xfId="0" applyFont="1" applyFill="1" applyAlignment="1">
      <alignment horizontal="center"/>
    </xf>
    <xf numFmtId="0" fontId="19" fillId="8" borderId="0" xfId="0" applyFont="1" applyFill="1" applyAlignment="1">
      <alignment horizontal="left" vertical="center" wrapText="1"/>
    </xf>
    <xf numFmtId="0" fontId="20" fillId="19" borderId="0" xfId="0" applyFont="1" applyFill="1" applyAlignment="1">
      <alignment horizontal="left" vertical="center"/>
    </xf>
    <xf numFmtId="0" fontId="14" fillId="9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19" fillId="8" borderId="7" xfId="0" applyFont="1" applyFill="1" applyBorder="1" applyAlignment="1">
      <alignment horizontal="left" vertical="center" wrapText="1"/>
    </xf>
    <xf numFmtId="0" fontId="45" fillId="17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F2F4F7"/>
      <rgbColor rgb="FF800000"/>
      <rgbColor rgb="FF008000"/>
      <rgbColor rgb="FF000080"/>
      <rgbColor rgb="FF8AA64F"/>
      <rgbColor rgb="FF800080"/>
      <rgbColor rgb="FF00915A"/>
      <rgbColor rgb="FFBFBFBF"/>
      <rgbColor rgb="FF757575"/>
      <rgbColor rgb="FF99C2AD"/>
      <rgbColor rgb="FFAB4744"/>
      <rgbColor rgb="FFFEFCE8"/>
      <rgbColor rgb="FFE3F2FD"/>
      <rgbColor rgb="FF4A148C"/>
      <rgbColor rgb="FFD0D0D0"/>
      <rgbColor rgb="FF2E7D32"/>
      <rgbColor rgb="FFD3D3D3"/>
      <rgbColor rgb="FF000080"/>
      <rgbColor rgb="FFFF00FF"/>
      <rgbColor rgb="FFFFEBEE"/>
      <rgbColor rgb="FFF2F2F2"/>
      <rgbColor rgb="FF800080"/>
      <rgbColor rgb="FF800000"/>
      <rgbColor rgb="FF00965E"/>
      <rgbColor rgb="FF0000FF"/>
      <rgbColor rgb="FF00CCFF"/>
      <rgbColor rgb="FFE8F5EF"/>
      <rgbColor rgb="FFEBF5FB"/>
      <rgbColor rgb="FFF5F5F5"/>
      <rgbColor rgb="FFB8D4C8"/>
      <rgbColor rgb="FFCCCCCC"/>
      <rgbColor rgb="FFB3B3B3"/>
      <rgbColor rgb="FFD9D9D9"/>
      <rgbColor rgb="FF4F81BD"/>
      <rgbColor rgb="FFE8EBF0"/>
      <rgbColor rgb="FFD9E1F2"/>
      <rgbColor rgb="FFFFC000"/>
      <rgbColor rgb="FFF5A623"/>
      <rgbColor rgb="FFFF6600"/>
      <rgbColor rgb="FF725990"/>
      <rgbColor rgb="FF999999"/>
      <rgbColor rgb="FF006B42"/>
      <rgbColor rgb="FF388E3C"/>
      <rgbColor rgb="FF003300"/>
      <rgbColor rgb="FF1B5E20"/>
      <rgbColor rgb="FFC62828"/>
      <rgbColor rgb="FFCC3333"/>
      <rgbColor rgb="FF66666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9933"/>
      <color rgb="FF0033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NII Scenario Impact — 2026F (€bn)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6B4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2F8-4048-9EAA-42F907D0CAD2}"/>
              </c:ext>
            </c:extLst>
          </c:dPt>
          <c:dPt>
            <c:idx val="1"/>
            <c:invertIfNegative val="0"/>
            <c:bubble3D val="0"/>
            <c:spPr>
              <a:solidFill>
                <a:srgbClr val="00915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2F8-4048-9EAA-42F907D0CAD2}"/>
              </c:ext>
            </c:extLst>
          </c:dPt>
          <c:dPt>
            <c:idx val="2"/>
            <c:invertIfNegative val="0"/>
            <c:bubble3D val="0"/>
            <c:spPr>
              <a:solidFill>
                <a:srgbClr val="F5A62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2F8-4048-9EAA-42F907D0CAD2}"/>
              </c:ext>
            </c:extLst>
          </c:dPt>
          <c:dPt>
            <c:idx val="3"/>
            <c:invertIfNegative val="0"/>
            <c:bubble3D val="0"/>
            <c:spPr>
              <a:solidFill>
                <a:srgbClr val="CC333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2F8-4048-9EAA-42F907D0CAD2}"/>
              </c:ext>
            </c:extLst>
          </c:dPt>
          <c:cat>
            <c:strRef>
              <c:f>Dashboard!$C$68:$F$68</c:f>
              <c:strCache>
                <c:ptCount val="4"/>
                <c:pt idx="0">
                  <c:v>Base</c:v>
                </c:pt>
                <c:pt idx="1">
                  <c:v>Rate Hike</c:v>
                </c:pt>
                <c:pt idx="2">
                  <c:v>Rate Cut</c:v>
                </c:pt>
                <c:pt idx="3">
                  <c:v>Stress</c:v>
                </c:pt>
              </c:strCache>
            </c:strRef>
          </c:cat>
          <c:val>
            <c:numRef>
              <c:f>Dashboard!$C$69:$F$69</c:f>
              <c:numCache>
                <c:formatCode>#,##0.0</c:formatCode>
                <c:ptCount val="4"/>
                <c:pt idx="0">
                  <c:v>22.685668548310964</c:v>
                </c:pt>
                <c:pt idx="1">
                  <c:v>20.216592343310975</c:v>
                </c:pt>
                <c:pt idx="2">
                  <c:v>18.81563942831097</c:v>
                </c:pt>
                <c:pt idx="3">
                  <c:v>15.812501578310973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F8-4048-9EAA-42F907D0C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504"/>
        <c:axId val="71049682"/>
      </c:barChart>
      <c:catAx>
        <c:axId val="23685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 billion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049682"/>
        <c:crosses val="autoZero"/>
        <c:auto val="1"/>
        <c:lblAlgn val="ctr"/>
        <c:lblOffset val="100"/>
        <c:noMultiLvlLbl val="0"/>
      </c:catAx>
      <c:valAx>
        <c:axId val="7104968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685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3</xdr:col>
      <xdr:colOff>1025250</xdr:colOff>
      <xdr:row>125</xdr:row>
      <xdr:rowOff>166320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1F1F20-BE21-47A4-84A5-0E28C6DAAD1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1d94df-7414-462c-97b3-c33c9d9fe2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NP_ALM_work.xlsx" TargetMode="External"/><Relationship Id="rId2" Type="http://schemas.openxmlformats.org/officeDocument/2006/relationships/hyperlink" Target="BNP_ALM_work.xlsx" TargetMode="External"/><Relationship Id="rId1" Type="http://schemas.openxmlformats.org/officeDocument/2006/relationships/hyperlink" Target="BNP_ALM_work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BNP_ALM_work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B42"/>
    <pageSetUpPr fitToPage="1"/>
  </sheetPr>
  <dimension ref="A1:G37"/>
  <sheetViews>
    <sheetView showGridLines="0" tabSelected="1" zoomScaleNormal="100" workbookViewId="0">
      <selection activeCell="B40" sqref="B40"/>
    </sheetView>
  </sheetViews>
  <sheetFormatPr defaultColWidth="8.7109375" defaultRowHeight="15" customHeight="1" x14ac:dyDescent="0.25"/>
  <cols>
    <col min="1" max="1" width="2" customWidth="1"/>
    <col min="2" max="2" width="30" customWidth="1"/>
    <col min="3" max="3" width="14" customWidth="1"/>
    <col min="4" max="7" width="13" customWidth="1"/>
  </cols>
  <sheetData>
    <row r="1" spans="1:7" ht="6" customHeight="1" x14ac:dyDescent="0.25"/>
    <row r="2" spans="1:7" ht="19.5" customHeight="1" x14ac:dyDescent="0.25">
      <c r="A2" s="2"/>
      <c r="B2" s="2"/>
      <c r="C2" s="2"/>
      <c r="D2" s="2"/>
      <c r="E2" s="2"/>
      <c r="F2" s="2"/>
      <c r="G2" s="2"/>
    </row>
    <row r="3" spans="1:7" ht="39.75" customHeight="1" x14ac:dyDescent="0.25">
      <c r="A3" s="2"/>
      <c r="B3" s="281" t="s">
        <v>0</v>
      </c>
      <c r="C3" s="281"/>
      <c r="D3" s="281"/>
      <c r="E3" s="281"/>
      <c r="F3" s="281"/>
      <c r="G3" s="281"/>
    </row>
    <row r="4" spans="1:7" ht="21.75" customHeight="1" x14ac:dyDescent="0.25">
      <c r="A4" s="2"/>
      <c r="B4" s="282" t="s">
        <v>1</v>
      </c>
      <c r="C4" s="282"/>
      <c r="D4" s="282"/>
      <c r="E4" s="282"/>
      <c r="F4" s="282"/>
      <c r="G4" s="282"/>
    </row>
    <row r="5" spans="1:7" ht="18" customHeight="1" x14ac:dyDescent="0.25">
      <c r="A5" s="2"/>
      <c r="B5" s="283" t="s">
        <v>2</v>
      </c>
      <c r="C5" s="283"/>
      <c r="D5" s="283"/>
      <c r="E5" s="283"/>
      <c r="F5" s="283"/>
      <c r="G5" s="283"/>
    </row>
    <row r="6" spans="1:7" ht="18" customHeight="1" x14ac:dyDescent="0.25"/>
    <row r="7" spans="1:7" ht="33.950000000000003" customHeight="1" x14ac:dyDescent="0.25">
      <c r="A7" s="2"/>
      <c r="B7" s="277" t="s">
        <v>3</v>
      </c>
      <c r="C7" s="277"/>
      <c r="D7" s="277"/>
      <c r="E7" s="277"/>
      <c r="F7" s="277"/>
      <c r="G7" s="277"/>
    </row>
    <row r="8" spans="1:7" ht="19.5" customHeight="1" x14ac:dyDescent="0.25">
      <c r="B8" s="126" t="s">
        <v>4</v>
      </c>
      <c r="C8" s="276" t="str">
        <f>Engine!C108</f>
        <v>Major European G-SIB</v>
      </c>
      <c r="D8" s="276"/>
      <c r="E8" s="276"/>
      <c r="F8" s="276"/>
      <c r="G8" s="276"/>
    </row>
    <row r="9" spans="1:7" ht="19.5" customHeight="1" x14ac:dyDescent="0.25">
      <c r="B9" s="127" t="s">
        <v>5</v>
      </c>
      <c r="C9" s="272" t="str">
        <f>Engine!C106&amp;" — "&amp;Engine!C107</f>
        <v>EUR — EUR millions</v>
      </c>
      <c r="D9" s="272"/>
      <c r="E9" s="272"/>
      <c r="F9" s="272"/>
      <c r="G9" s="272"/>
    </row>
    <row r="10" spans="1:7" ht="19.5" customHeight="1" x14ac:dyDescent="0.25">
      <c r="B10" s="126" t="s">
        <v>6</v>
      </c>
      <c r="C10" s="276" t="str">
        <f>Engine!C105</f>
        <v>2025A</v>
      </c>
      <c r="D10" s="276"/>
      <c r="E10" s="276"/>
      <c r="F10" s="276"/>
      <c r="G10" s="276"/>
    </row>
    <row r="11" spans="1:7" ht="19.5" customHeight="1" x14ac:dyDescent="0.25">
      <c r="B11" s="127" t="s">
        <v>7</v>
      </c>
      <c r="C11" s="272" t="str">
        <f>Engine!C110</f>
        <v>3 Years (2026F–2028F)</v>
      </c>
      <c r="D11" s="272"/>
      <c r="E11" s="272"/>
      <c r="F11" s="272"/>
      <c r="G11" s="272"/>
    </row>
    <row r="12" spans="1:7" ht="19.5" customHeight="1" x14ac:dyDescent="0.25">
      <c r="B12" s="126" t="s">
        <v>8</v>
      </c>
      <c r="C12" s="276" t="str">
        <f>Engine!C109</f>
        <v>EU — Basel III / CRR2 / Del. Reg. (EU) 2022/786</v>
      </c>
      <c r="D12" s="276"/>
      <c r="E12" s="276"/>
      <c r="F12" s="276"/>
      <c r="G12" s="276"/>
    </row>
    <row r="13" spans="1:7" ht="19.5" customHeight="1" x14ac:dyDescent="0.25">
      <c r="B13" s="127" t="s">
        <v>9</v>
      </c>
      <c r="C13" s="272" t="s">
        <v>10</v>
      </c>
      <c r="D13" s="272"/>
      <c r="E13" s="272"/>
      <c r="F13" s="272"/>
      <c r="G13" s="272"/>
    </row>
    <row r="14" spans="1:7" ht="19.5" customHeight="1" x14ac:dyDescent="0.25">
      <c r="B14" s="126" t="s">
        <v>11</v>
      </c>
      <c r="C14" s="276" t="str">
        <f>Engine!C103</f>
        <v>v10</v>
      </c>
      <c r="D14" s="276"/>
      <c r="E14" s="276"/>
      <c r="F14" s="276"/>
      <c r="G14" s="276"/>
    </row>
    <row r="15" spans="1:7" ht="13.5" customHeight="1" x14ac:dyDescent="0.25"/>
    <row r="16" spans="1:7" ht="33.950000000000003" customHeight="1" x14ac:dyDescent="0.25">
      <c r="A16" s="2"/>
      <c r="B16" s="277" t="s">
        <v>12</v>
      </c>
      <c r="C16" s="277"/>
      <c r="D16" s="277"/>
      <c r="E16" s="277"/>
      <c r="F16" s="277"/>
      <c r="G16" s="277"/>
    </row>
    <row r="17" spans="1:7" ht="18" customHeight="1" x14ac:dyDescent="0.25">
      <c r="B17" s="128" t="s">
        <v>13</v>
      </c>
      <c r="C17" s="280" t="s">
        <v>14</v>
      </c>
      <c r="D17" s="280"/>
      <c r="E17" s="280"/>
      <c r="F17" s="280"/>
      <c r="G17" s="280"/>
    </row>
    <row r="18" spans="1:7" ht="19.5" customHeight="1" x14ac:dyDescent="0.25">
      <c r="B18" s="129" t="s">
        <v>15</v>
      </c>
      <c r="C18" s="278" t="s">
        <v>16</v>
      </c>
      <c r="D18" s="278"/>
      <c r="E18" s="278"/>
      <c r="F18" s="278"/>
      <c r="G18" s="278"/>
    </row>
    <row r="19" spans="1:7" ht="19.5" customHeight="1" x14ac:dyDescent="0.25">
      <c r="B19" s="130" t="s">
        <v>17</v>
      </c>
      <c r="C19" s="279" t="s">
        <v>18</v>
      </c>
      <c r="D19" s="279"/>
      <c r="E19" s="279"/>
      <c r="F19" s="279"/>
      <c r="G19" s="279"/>
    </row>
    <row r="20" spans="1:7" ht="19.5" customHeight="1" x14ac:dyDescent="0.25">
      <c r="B20" s="129" t="s">
        <v>19</v>
      </c>
      <c r="C20" s="278" t="s">
        <v>20</v>
      </c>
      <c r="D20" s="278"/>
      <c r="E20" s="278"/>
      <c r="F20" s="278"/>
      <c r="G20" s="278"/>
    </row>
    <row r="21" spans="1:7" ht="19.5" customHeight="1" x14ac:dyDescent="0.25">
      <c r="B21" s="130" t="s">
        <v>21</v>
      </c>
      <c r="C21" s="279" t="s">
        <v>22</v>
      </c>
      <c r="D21" s="279"/>
      <c r="E21" s="279"/>
      <c r="F21" s="279"/>
      <c r="G21" s="279"/>
    </row>
    <row r="22" spans="1:7" ht="33.950000000000003" customHeight="1" x14ac:dyDescent="0.25">
      <c r="A22" s="2"/>
      <c r="B22" s="277" t="s">
        <v>23</v>
      </c>
      <c r="C22" s="277"/>
      <c r="D22" s="277"/>
      <c r="E22" s="277"/>
      <c r="F22" s="277"/>
      <c r="G22" s="277"/>
    </row>
    <row r="23" spans="1:7" ht="15.75" customHeight="1" x14ac:dyDescent="0.25">
      <c r="B23" s="131" t="s">
        <v>24</v>
      </c>
      <c r="C23" s="131" t="s">
        <v>25</v>
      </c>
      <c r="D23" s="131" t="s">
        <v>26</v>
      </c>
      <c r="E23" s="131" t="s">
        <v>27</v>
      </c>
      <c r="F23" s="131" t="s">
        <v>28</v>
      </c>
      <c r="G23" s="131" t="s">
        <v>29</v>
      </c>
    </row>
    <row r="24" spans="1:7" ht="27.75" customHeight="1" x14ac:dyDescent="0.25">
      <c r="B24" s="132">
        <f ca="1">Dashboard!B8</f>
        <v>22.685668548310968</v>
      </c>
      <c r="C24" s="133">
        <f ca="1">Dashboard!C8</f>
        <v>1.7379543720731975E-2</v>
      </c>
      <c r="D24" s="133">
        <f ca="1">Dashboard!D8</f>
        <v>0.15879655825400396</v>
      </c>
      <c r="E24" s="134">
        <f ca="1">Dashboard!E8</f>
        <v>1.5354828102712694</v>
      </c>
      <c r="F24" s="134">
        <f ca="1">Dashboard!F8</f>
        <v>0.96020359554417645</v>
      </c>
      <c r="G24" s="135">
        <f>Dashboard!G8</f>
        <v>0.13244639910571748</v>
      </c>
    </row>
    <row r="25" spans="1:7" ht="13.5" customHeight="1" x14ac:dyDescent="0.25"/>
    <row r="26" spans="1:7" ht="33.950000000000003" customHeight="1" x14ac:dyDescent="0.25">
      <c r="A26" s="2"/>
      <c r="B26" s="277" t="s">
        <v>30</v>
      </c>
      <c r="C26" s="277"/>
      <c r="D26" s="277"/>
      <c r="E26" s="277"/>
      <c r="F26" s="277"/>
      <c r="G26" s="277"/>
    </row>
    <row r="27" spans="1:7" ht="19.5" customHeight="1" x14ac:dyDescent="0.25">
      <c r="B27" s="126" t="s">
        <v>31</v>
      </c>
      <c r="C27" s="276" t="str">
        <f>Engine!F111</f>
        <v>Hossam Eltarrass</v>
      </c>
      <c r="D27" s="276"/>
      <c r="E27" s="276"/>
      <c r="F27" s="276"/>
      <c r="G27" s="276"/>
    </row>
    <row r="28" spans="1:7" ht="19.5" customHeight="1" x14ac:dyDescent="0.25">
      <c r="B28" s="127" t="s">
        <v>14</v>
      </c>
      <c r="C28" s="272" t="s">
        <v>810</v>
      </c>
      <c r="D28" s="272"/>
      <c r="E28" s="272"/>
      <c r="F28" s="272"/>
      <c r="G28" s="272"/>
    </row>
    <row r="29" spans="1:7" ht="19.5" customHeight="1" x14ac:dyDescent="0.25">
      <c r="B29" s="126" t="s">
        <v>32</v>
      </c>
      <c r="C29" s="273" t="s">
        <v>33</v>
      </c>
      <c r="D29" s="273"/>
      <c r="E29" s="273"/>
      <c r="F29" s="273"/>
      <c r="G29" s="273"/>
    </row>
    <row r="30" spans="1:7" ht="19.5" customHeight="1" x14ac:dyDescent="0.25">
      <c r="B30" s="127" t="s">
        <v>34</v>
      </c>
      <c r="C30" s="274" t="s">
        <v>35</v>
      </c>
      <c r="D30" s="274"/>
      <c r="E30" s="274"/>
      <c r="F30" s="274"/>
      <c r="G30" s="274"/>
    </row>
    <row r="31" spans="1:7" ht="19.5" customHeight="1" x14ac:dyDescent="0.25">
      <c r="B31" s="126" t="s">
        <v>36</v>
      </c>
      <c r="C31" s="275">
        <v>46157</v>
      </c>
      <c r="D31" s="276"/>
      <c r="E31" s="276"/>
      <c r="F31" s="276"/>
      <c r="G31" s="276"/>
    </row>
    <row r="32" spans="1:7" ht="13.5" customHeight="1" x14ac:dyDescent="0.25"/>
    <row r="33" spans="1:7" ht="33.950000000000003" customHeight="1" x14ac:dyDescent="0.25">
      <c r="A33" s="2"/>
      <c r="B33" s="277" t="s">
        <v>37</v>
      </c>
      <c r="C33" s="277"/>
      <c r="D33" s="277"/>
      <c r="E33" s="277"/>
      <c r="F33" s="277"/>
      <c r="G33" s="277"/>
    </row>
    <row r="34" spans="1:7" ht="31.5" customHeight="1" x14ac:dyDescent="0.25">
      <c r="B34" s="270" t="s">
        <v>38</v>
      </c>
      <c r="C34" s="270"/>
      <c r="D34" s="270"/>
      <c r="E34" s="270"/>
      <c r="F34" s="270"/>
      <c r="G34" s="270"/>
    </row>
    <row r="35" spans="1:7" ht="25.5" customHeight="1" x14ac:dyDescent="0.25">
      <c r="B35" s="270" t="s">
        <v>39</v>
      </c>
      <c r="C35" s="270"/>
      <c r="D35" s="270"/>
      <c r="E35" s="270"/>
      <c r="F35" s="270"/>
      <c r="G35" s="270"/>
    </row>
    <row r="36" spans="1:7" x14ac:dyDescent="0.25"/>
    <row r="37" spans="1:7" ht="13.5" customHeight="1" x14ac:dyDescent="0.25">
      <c r="B37" s="271" t="str">
        <f>"Model "&amp;Engine!C103&amp;"  |  Last updated: "&amp;TEXT(Engine!C111,"DD-MMM-YYYY")&amp;"  |  Prepared by: "&amp;Engine!F111</f>
        <v>Model v10  |  Last updated: 15-May-2026  |  Prepared by: Hossam Eltarrass</v>
      </c>
      <c r="C37" s="271"/>
      <c r="D37" s="271"/>
      <c r="E37" s="271"/>
      <c r="F37" s="271"/>
      <c r="G37" s="271"/>
    </row>
  </sheetData>
  <mergeCells count="28">
    <mergeCell ref="B3:G3"/>
    <mergeCell ref="B4:G4"/>
    <mergeCell ref="B5:G5"/>
    <mergeCell ref="B7:G7"/>
    <mergeCell ref="C8:G8"/>
    <mergeCell ref="C9:G9"/>
    <mergeCell ref="C10:G10"/>
    <mergeCell ref="C11:G11"/>
    <mergeCell ref="C12:G12"/>
    <mergeCell ref="C13:G13"/>
    <mergeCell ref="C14:G14"/>
    <mergeCell ref="B16:G16"/>
    <mergeCell ref="C17:G17"/>
    <mergeCell ref="C18:G18"/>
    <mergeCell ref="C19:G19"/>
    <mergeCell ref="C20:G20"/>
    <mergeCell ref="C21:G21"/>
    <mergeCell ref="B22:G22"/>
    <mergeCell ref="B26:G26"/>
    <mergeCell ref="C27:G27"/>
    <mergeCell ref="B34:G34"/>
    <mergeCell ref="B35:G35"/>
    <mergeCell ref="B37:G37"/>
    <mergeCell ref="C28:G28"/>
    <mergeCell ref="C29:G29"/>
    <mergeCell ref="C30:G30"/>
    <mergeCell ref="C31:G31"/>
    <mergeCell ref="B33:G33"/>
  </mergeCells>
  <hyperlinks>
    <hyperlink ref="B18" r:id="rId1" location="Dashboard!A1" xr:uid="{00000000-0004-0000-0000-000000000000}"/>
    <hyperlink ref="B19" r:id="rId2" location="Engine!A1" xr:uid="{00000000-0004-0000-0000-000001000000}"/>
    <hyperlink ref="B20" r:id="rId3" location="Model!A1" xr:uid="{00000000-0004-0000-0000-000002000000}"/>
    <hyperlink ref="B21" r:id="rId4" location="Master%20Balance%20Sheet!A1" xr:uid="{00000000-0004-0000-0000-000003000000}"/>
  </hyperlinks>
  <pageMargins left="6.9444444444444441E-3" right="6.9444444444444441E-3" top="6.9444444444444441E-3" bottom="6.9444444444444441E-3" header="0.511811023622047" footer="0.511811023622047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B42"/>
    <pageSetUpPr fitToPage="1"/>
  </sheetPr>
  <dimension ref="B1:G122"/>
  <sheetViews>
    <sheetView showGridLines="0" tabSelected="1" zoomScaleNormal="100" workbookViewId="0">
      <pane xSplit="1" ySplit="5" topLeftCell="B6" activePane="bottomRight" state="frozen"/>
      <selection activeCell="B40" sqref="B40"/>
      <selection pane="topRight" activeCell="B40" sqref="B40"/>
      <selection pane="bottomLeft" activeCell="B40" sqref="B40"/>
      <selection pane="bottomRight" activeCell="B40" sqref="B40"/>
    </sheetView>
  </sheetViews>
  <sheetFormatPr defaultColWidth="8.7109375" defaultRowHeight="15" customHeight="1" x14ac:dyDescent="0.25"/>
  <cols>
    <col min="1" max="1" width="2" customWidth="1"/>
    <col min="2" max="2" width="42.7109375" customWidth="1"/>
    <col min="3" max="6" width="18.7109375" customWidth="1"/>
    <col min="7" max="7" width="24" customWidth="1"/>
    <col min="8" max="8" width="14" customWidth="1"/>
  </cols>
  <sheetData>
    <row r="1" spans="2:7" x14ac:dyDescent="0.25"/>
    <row r="2" spans="2:7" ht="32.1" customHeight="1" x14ac:dyDescent="0.3">
      <c r="B2" s="288" t="s">
        <v>0</v>
      </c>
      <c r="C2" s="288"/>
      <c r="D2" s="288"/>
      <c r="E2" s="288"/>
      <c r="F2" s="288"/>
      <c r="G2" s="141" t="s">
        <v>40</v>
      </c>
    </row>
    <row r="3" spans="2:7" ht="15" customHeight="1" x14ac:dyDescent="0.25">
      <c r="B3" s="289" t="str">
        <f>Engine!C108&amp;"  |  "&amp;Engine!C106&amp;"  |  Scenario: "&amp;CHOOSE(Engine!C4,"Base","Rate Hike","Rate Cut","Stress")&amp;"  |  Base year: "&amp;Engine!C105</f>
        <v>Major European G-SIB  |  EUR  |  Scenario: Base  |  Base year: 2025A</v>
      </c>
      <c r="C3" s="289"/>
      <c r="D3" s="289"/>
      <c r="E3" s="289"/>
      <c r="F3" s="289"/>
      <c r="G3" s="3" t="s">
        <v>41</v>
      </c>
    </row>
    <row r="4" spans="2:7" ht="15" customHeight="1" x14ac:dyDescent="0.25">
      <c r="B4" s="289" t="s">
        <v>42</v>
      </c>
      <c r="C4" s="289"/>
      <c r="D4" s="289"/>
      <c r="E4" s="289"/>
      <c r="F4" s="289"/>
      <c r="G4" s="136">
        <f>MATCH(G3,{"Base","Rate Hike","Rate Cut","Stress"},0)</f>
        <v>1</v>
      </c>
    </row>
    <row r="5" spans="2:7" ht="6" customHeight="1" x14ac:dyDescent="0.25"/>
    <row r="6" spans="2:7" ht="24" customHeight="1" x14ac:dyDescent="0.25">
      <c r="B6" s="286" t="str">
        <f>"KEY METRICS — 2026F vs 2025A | "&amp;CHOOSE(Dashboard!G4,"Base","Rate Hike","Rate Cut","Stress")</f>
        <v>KEY METRICS — 2026F vs 2025A | Base</v>
      </c>
      <c r="C6" s="286"/>
      <c r="D6" s="286"/>
      <c r="E6" s="286"/>
      <c r="F6" s="286"/>
      <c r="G6" s="137"/>
    </row>
    <row r="7" spans="2:7" ht="15" customHeight="1" x14ac:dyDescent="0.25">
      <c r="B7" s="142" t="s">
        <v>24</v>
      </c>
      <c r="C7" s="142" t="s">
        <v>25</v>
      </c>
      <c r="D7" s="142" t="s">
        <v>43</v>
      </c>
      <c r="E7" s="142" t="s">
        <v>27</v>
      </c>
      <c r="F7" s="142" t="s">
        <v>28</v>
      </c>
      <c r="G7" s="142" t="s">
        <v>44</v>
      </c>
    </row>
    <row r="8" spans="2:7" ht="27.75" customHeight="1" x14ac:dyDescent="0.25">
      <c r="B8" s="143">
        <f ca="1">Model!D23/1000</f>
        <v>22.685668548310968</v>
      </c>
      <c r="C8" s="144">
        <f ca="1">Model!E137</f>
        <v>1.7379543720731975E-2</v>
      </c>
      <c r="D8" s="144">
        <f ca="1">Model!E143</f>
        <v>0.15879655825400396</v>
      </c>
      <c r="E8" s="145">
        <f ca="1">Model!E145</f>
        <v>1.5354828102712694</v>
      </c>
      <c r="F8" s="145">
        <f ca="1">Model!E146</f>
        <v>0.96020359554417645</v>
      </c>
      <c r="G8" s="146">
        <f>Model!E225</f>
        <v>0.13244639910571748</v>
      </c>
    </row>
    <row r="9" spans="2:7" ht="15" customHeight="1" x14ac:dyDescent="0.25">
      <c r="B9" s="147">
        <f ca="1">(Model!D23-Model!C23)/1000</f>
        <v>0.60041609831097231</v>
      </c>
      <c r="C9" s="148">
        <f ca="1">Model!E137-Model!D137</f>
        <v>6.0649992123035928E-5</v>
      </c>
      <c r="D9" s="148">
        <f ca="1">Model!E143-Model!D143</f>
        <v>1.3406130808328587E-3</v>
      </c>
      <c r="E9" s="149">
        <f ca="1">Model!E145-Model!D145</f>
        <v>-1.8924085036211569E-2</v>
      </c>
      <c r="F9" s="149">
        <f ca="1">Model!E146-Model!D146</f>
        <v>-5.9624667025609646E-2</v>
      </c>
      <c r="G9" s="150" t="str">
        <f>IF(Model!E225&gt;0.15,"BREACH","OK")</f>
        <v>OK</v>
      </c>
    </row>
    <row r="10" spans="2:7" ht="15" customHeight="1" x14ac:dyDescent="0.25">
      <c r="B10" s="151"/>
      <c r="C10" s="151"/>
      <c r="D10" s="151" t="s">
        <v>45</v>
      </c>
      <c r="E10" s="151" t="s">
        <v>46</v>
      </c>
      <c r="F10" s="151" t="s">
        <v>47</v>
      </c>
      <c r="G10" s="151" t="s">
        <v>48</v>
      </c>
    </row>
    <row r="11" spans="2:7" ht="6" customHeight="1" x14ac:dyDescent="0.25"/>
    <row r="12" spans="2:7" ht="24" customHeight="1" x14ac:dyDescent="0.25">
      <c r="B12" s="286" t="s">
        <v>49</v>
      </c>
      <c r="C12" s="286"/>
      <c r="D12" s="286"/>
      <c r="E12" s="286"/>
      <c r="F12" s="286"/>
      <c r="G12" s="137"/>
    </row>
    <row r="13" spans="2:7" ht="24" customHeight="1" x14ac:dyDescent="0.25">
      <c r="B13" s="137"/>
      <c r="C13" s="138" t="s">
        <v>50</v>
      </c>
      <c r="D13" s="138" t="s">
        <v>51</v>
      </c>
      <c r="E13" s="138" t="s">
        <v>52</v>
      </c>
      <c r="F13" s="138" t="s">
        <v>53</v>
      </c>
      <c r="G13" s="138"/>
    </row>
    <row r="14" spans="2:7" ht="15" customHeight="1" x14ac:dyDescent="0.25">
      <c r="B14" s="152" t="s">
        <v>54</v>
      </c>
    </row>
    <row r="15" spans="2:7" ht="15" customHeight="1" x14ac:dyDescent="0.25">
      <c r="B15" s="153" t="s">
        <v>55</v>
      </c>
      <c r="C15" s="157">
        <f>Engine!D126</f>
        <v>211330</v>
      </c>
      <c r="D15" s="157">
        <f ca="1">Engine!E126</f>
        <v>214325.3265915988</v>
      </c>
      <c r="E15" s="157">
        <f ca="1">Engine!F126</f>
        <v>217157.60072309198</v>
      </c>
      <c r="F15" s="157">
        <f ca="1">Engine!G126</f>
        <v>219876.42045560014</v>
      </c>
    </row>
    <row r="16" spans="2:7" ht="15" customHeight="1" x14ac:dyDescent="0.25">
      <c r="B16" s="153" t="s">
        <v>56</v>
      </c>
      <c r="C16" s="157">
        <f>Engine!D127</f>
        <v>870245</v>
      </c>
      <c r="D16" s="157">
        <f>Engine!E127</f>
        <v>870245</v>
      </c>
      <c r="E16" s="157">
        <f>Engine!F127</f>
        <v>870245</v>
      </c>
      <c r="F16" s="157">
        <f>Engine!G127</f>
        <v>870245</v>
      </c>
    </row>
    <row r="17" spans="2:7" ht="15" customHeight="1" x14ac:dyDescent="0.25">
      <c r="B17" s="153" t="s">
        <v>57</v>
      </c>
      <c r="C17" s="157">
        <f>Engine!D128</f>
        <v>897358</v>
      </c>
      <c r="D17" s="157">
        <f>Engine!E128</f>
        <v>924278.74</v>
      </c>
      <c r="E17" s="157">
        <f>Engine!F128</f>
        <v>952007.10219999996</v>
      </c>
      <c r="F17" s="157">
        <f>Engine!G128</f>
        <v>980567.31526599999</v>
      </c>
    </row>
    <row r="18" spans="2:7" ht="15" customHeight="1" x14ac:dyDescent="0.25">
      <c r="B18" s="153" t="s">
        <v>58</v>
      </c>
      <c r="C18" s="157">
        <f>Engine!D129</f>
        <v>26259</v>
      </c>
      <c r="D18" s="157">
        <f>Engine!E129</f>
        <v>26259</v>
      </c>
      <c r="E18" s="157">
        <f>Engine!F129</f>
        <v>26259</v>
      </c>
      <c r="F18" s="157">
        <f>Engine!G129</f>
        <v>26259</v>
      </c>
    </row>
    <row r="19" spans="2:7" ht="15" customHeight="1" x14ac:dyDescent="0.25">
      <c r="B19" s="153" t="s">
        <v>59</v>
      </c>
      <c r="C19" s="157">
        <f>Engine!D130</f>
        <v>153107</v>
      </c>
      <c r="D19" s="157">
        <f>Engine!E130</f>
        <v>157700.21</v>
      </c>
      <c r="E19" s="157">
        <f>Engine!F130</f>
        <v>162431.2163</v>
      </c>
      <c r="F19" s="157">
        <f>Engine!G130</f>
        <v>167304.15278900001</v>
      </c>
    </row>
    <row r="20" spans="2:7" ht="15" customHeight="1" x14ac:dyDescent="0.25">
      <c r="B20" s="153" t="s">
        <v>60</v>
      </c>
      <c r="C20" s="157">
        <f>Engine!D131</f>
        <v>634682</v>
      </c>
      <c r="D20" s="157">
        <f>Engine!E131</f>
        <v>641028.81999999995</v>
      </c>
      <c r="E20" s="157">
        <f>Engine!F131</f>
        <v>647439.1081999999</v>
      </c>
      <c r="F20" s="157">
        <f>Engine!G131</f>
        <v>653913.49928199989</v>
      </c>
    </row>
    <row r="21" spans="2:7" ht="15" customHeight="1" x14ac:dyDescent="0.25">
      <c r="B21" s="154" t="s">
        <v>61</v>
      </c>
      <c r="C21" s="158">
        <f>Engine!D132</f>
        <v>2792981</v>
      </c>
      <c r="D21" s="158">
        <f ca="1">Engine!E132</f>
        <v>2833837.0965915988</v>
      </c>
      <c r="E21" s="158">
        <f ca="1">Engine!F132</f>
        <v>2875539.0274230922</v>
      </c>
      <c r="F21" s="158">
        <f ca="1">Engine!G132</f>
        <v>2918165.3877926003</v>
      </c>
      <c r="G21" s="159"/>
    </row>
    <row r="22" spans="2:7" ht="6" customHeight="1" x14ac:dyDescent="0.25"/>
    <row r="23" spans="2:7" ht="15" customHeight="1" x14ac:dyDescent="0.25">
      <c r="B23" s="152" t="s">
        <v>62</v>
      </c>
    </row>
    <row r="24" spans="2:7" ht="15" customHeight="1" x14ac:dyDescent="0.25">
      <c r="B24" s="153" t="s">
        <v>63</v>
      </c>
      <c r="C24" s="157">
        <f>Engine!D136</f>
        <v>1075564</v>
      </c>
      <c r="D24" s="157">
        <f>Engine!E136</f>
        <v>1102453.0999999999</v>
      </c>
      <c r="E24" s="157">
        <f>Engine!F136</f>
        <v>1130014.4274999998</v>
      </c>
      <c r="F24" s="157">
        <f>Engine!G136</f>
        <v>1158264.7881874996</v>
      </c>
    </row>
    <row r="25" spans="2:7" ht="15" customHeight="1" x14ac:dyDescent="0.25">
      <c r="B25" s="153" t="s">
        <v>64</v>
      </c>
      <c r="C25" s="157">
        <f>Engine!D137</f>
        <v>69938</v>
      </c>
      <c r="D25" s="157">
        <f>Engine!E137</f>
        <v>69938</v>
      </c>
      <c r="E25" s="157">
        <f>Engine!F137</f>
        <v>69938</v>
      </c>
      <c r="F25" s="157">
        <f>Engine!G137</f>
        <v>69938</v>
      </c>
    </row>
    <row r="26" spans="2:7" ht="15" customHeight="1" x14ac:dyDescent="0.25">
      <c r="B26" s="153" t="s">
        <v>65</v>
      </c>
      <c r="C26" s="157">
        <f>Engine!D138</f>
        <v>357947</v>
      </c>
      <c r="D26" s="157">
        <f>Engine!E138</f>
        <v>357947</v>
      </c>
      <c r="E26" s="157">
        <f>Engine!F138</f>
        <v>357947</v>
      </c>
      <c r="F26" s="157">
        <f>Engine!G138</f>
        <v>357947</v>
      </c>
    </row>
    <row r="27" spans="2:7" ht="15" customHeight="1" x14ac:dyDescent="0.25">
      <c r="B27" s="153" t="s">
        <v>66</v>
      </c>
      <c r="C27" s="157">
        <f>Engine!D139</f>
        <v>173933</v>
      </c>
      <c r="D27" s="157">
        <f>Engine!E139</f>
        <v>173933</v>
      </c>
      <c r="E27" s="157">
        <f>Engine!F139</f>
        <v>173933</v>
      </c>
      <c r="F27" s="157">
        <f>Engine!G139</f>
        <v>173933</v>
      </c>
    </row>
    <row r="28" spans="2:7" ht="15" customHeight="1" x14ac:dyDescent="0.25">
      <c r="B28" s="153" t="s">
        <v>67</v>
      </c>
      <c r="C28" s="157">
        <f>Engine!D140</f>
        <v>34468</v>
      </c>
      <c r="D28" s="157">
        <f>Engine!E140</f>
        <v>34468</v>
      </c>
      <c r="E28" s="157">
        <f>Engine!F140</f>
        <v>34468</v>
      </c>
      <c r="F28" s="157">
        <f>Engine!G140</f>
        <v>34468</v>
      </c>
    </row>
    <row r="29" spans="2:7" ht="15" customHeight="1" x14ac:dyDescent="0.25">
      <c r="B29" s="153" t="s">
        <v>68</v>
      </c>
      <c r="C29" s="157">
        <f>Engine!D141</f>
        <v>948958</v>
      </c>
      <c r="D29" s="157">
        <f>Engine!E141</f>
        <v>958447.58</v>
      </c>
      <c r="E29" s="157">
        <f>Engine!F141</f>
        <v>968032.05579999997</v>
      </c>
      <c r="F29" s="157">
        <f>Engine!G141</f>
        <v>977712.37635799998</v>
      </c>
    </row>
    <row r="30" spans="2:7" ht="15" customHeight="1" x14ac:dyDescent="0.25">
      <c r="B30" s="154" t="s">
        <v>69</v>
      </c>
      <c r="C30" s="158">
        <f>Engine!D142</f>
        <v>2660808</v>
      </c>
      <c r="D30" s="158">
        <f>Engine!E142</f>
        <v>2697186.6799999997</v>
      </c>
      <c r="E30" s="158">
        <f>Engine!F142</f>
        <v>2734332.4832999995</v>
      </c>
      <c r="F30" s="158">
        <f>Engine!G142</f>
        <v>2772263.1645454997</v>
      </c>
      <c r="G30" s="159"/>
    </row>
    <row r="31" spans="2:7" ht="15" customHeight="1" x14ac:dyDescent="0.25">
      <c r="B31" s="153" t="s">
        <v>70</v>
      </c>
      <c r="C31" s="157">
        <f>Engine!D145</f>
        <v>132173</v>
      </c>
      <c r="D31" s="157">
        <f ca="1">Engine!E145</f>
        <v>136650.416591599</v>
      </c>
      <c r="E31" s="157">
        <f ca="1">Engine!F145</f>
        <v>141206.54412309211</v>
      </c>
      <c r="F31" s="157">
        <f ca="1">Engine!G145</f>
        <v>145902.22324710042</v>
      </c>
    </row>
    <row r="32" spans="2:7" ht="15" customHeight="1" x14ac:dyDescent="0.25">
      <c r="B32" s="154" t="s">
        <v>71</v>
      </c>
      <c r="C32" s="158">
        <f>Engine!D146</f>
        <v>2792981</v>
      </c>
      <c r="D32" s="158">
        <f ca="1">Engine!E146</f>
        <v>2833837.0965915988</v>
      </c>
      <c r="E32" s="158">
        <f ca="1">Engine!F146</f>
        <v>2875539.0274230917</v>
      </c>
      <c r="F32" s="158">
        <f ca="1">Engine!G146</f>
        <v>2918165.3877926003</v>
      </c>
      <c r="G32" s="159"/>
    </row>
    <row r="33" spans="2:7" ht="15" customHeight="1" x14ac:dyDescent="0.25">
      <c r="B33" s="155" t="s">
        <v>72</v>
      </c>
      <c r="C33" s="160">
        <f>Engine!D147</f>
        <v>0</v>
      </c>
      <c r="D33" s="160">
        <f ca="1">Engine!E147</f>
        <v>0</v>
      </c>
      <c r="E33" s="160">
        <f ca="1">Engine!F147</f>
        <v>0</v>
      </c>
      <c r="F33" s="160">
        <f ca="1">Engine!G147</f>
        <v>0</v>
      </c>
    </row>
    <row r="34" spans="2:7" ht="6" customHeight="1" x14ac:dyDescent="0.25"/>
    <row r="35" spans="2:7" ht="24" customHeight="1" x14ac:dyDescent="0.25">
      <c r="B35" s="286" t="s">
        <v>73</v>
      </c>
      <c r="C35" s="286"/>
      <c r="D35" s="286"/>
      <c r="E35" s="286"/>
      <c r="F35" s="286"/>
      <c r="G35" s="137"/>
    </row>
    <row r="36" spans="2:7" ht="24" customHeight="1" x14ac:dyDescent="0.25">
      <c r="B36" s="137"/>
      <c r="C36" s="138" t="s">
        <v>50</v>
      </c>
      <c r="D36" s="138" t="s">
        <v>51</v>
      </c>
      <c r="E36" s="138" t="s">
        <v>52</v>
      </c>
      <c r="F36" s="138" t="s">
        <v>53</v>
      </c>
      <c r="G36" s="138"/>
    </row>
    <row r="37" spans="2:7" ht="15" customHeight="1" x14ac:dyDescent="0.25">
      <c r="B37" s="153" t="str">
        <f>"Model "&amp;Engine!C103&amp;"  |  Last updated: "&amp;TEXT(Engine!C111,"DD-MMM-YYYY")&amp;"  |  Prepared by: "&amp;Engine!F111</f>
        <v>Model v10  |  Last updated: 15-May-2026  |  Prepared by: Hossam Eltarrass</v>
      </c>
      <c r="C37" s="161">
        <f>Model!C23</f>
        <v>22085.252449999996</v>
      </c>
      <c r="D37" s="161">
        <f ca="1">Model!D23</f>
        <v>22685.668548310969</v>
      </c>
      <c r="E37" s="161">
        <f ca="1">Model!E23</f>
        <v>23224.923378361829</v>
      </c>
      <c r="F37" s="161">
        <f ca="1">Model!F23</f>
        <v>24295.945410446995</v>
      </c>
    </row>
    <row r="38" spans="2:7" ht="15" customHeight="1" x14ac:dyDescent="0.25">
      <c r="B38" s="153" t="s">
        <v>75</v>
      </c>
      <c r="C38" s="161">
        <f>Model!C24</f>
        <v>22343.848000000002</v>
      </c>
      <c r="D38" s="161">
        <f ca="1">Model!D24</f>
        <v>22670.69677273279</v>
      </c>
      <c r="E38" s="161">
        <f ca="1">Model!E24</f>
        <v>23004.312219384738</v>
      </c>
      <c r="F38" s="161">
        <f ca="1">Model!F24</f>
        <v>23345.323102340804</v>
      </c>
    </row>
    <row r="39" spans="2:7" ht="15" customHeight="1" x14ac:dyDescent="0.25">
      <c r="B39" s="153" t="s">
        <v>76</v>
      </c>
      <c r="C39" s="161">
        <f>Model!C25</f>
        <v>44429.100449999998</v>
      </c>
      <c r="D39" s="161">
        <f ca="1">Model!D25</f>
        <v>45356.365321043762</v>
      </c>
      <c r="E39" s="161">
        <f ca="1">Model!E25</f>
        <v>46229.235597746563</v>
      </c>
      <c r="F39" s="161">
        <f ca="1">Model!F25</f>
        <v>47641.268512787799</v>
      </c>
    </row>
    <row r="40" spans="2:7" ht="15" customHeight="1" x14ac:dyDescent="0.25">
      <c r="B40" s="153" t="s">
        <v>77</v>
      </c>
      <c r="C40" s="161">
        <f>Model!C26</f>
        <v>-27546.042278999998</v>
      </c>
      <c r="D40" s="161">
        <f ca="1">Model!D26</f>
        <v>-28120.946499047132</v>
      </c>
      <c r="E40" s="161">
        <f ca="1">Model!E26</f>
        <v>-28662.12607060287</v>
      </c>
      <c r="F40" s="161">
        <f ca="1">Model!F26</f>
        <v>-29537.586477928435</v>
      </c>
    </row>
    <row r="41" spans="2:7" ht="15" customHeight="1" x14ac:dyDescent="0.25">
      <c r="B41" s="153" t="s">
        <v>78</v>
      </c>
      <c r="C41" s="161">
        <f>Model!C28</f>
        <v>-2243.395</v>
      </c>
      <c r="D41" s="161">
        <f>Model!D28</f>
        <v>-2310.6968499999998</v>
      </c>
      <c r="E41" s="161">
        <f>Model!E28</f>
        <v>-2380.0177555</v>
      </c>
      <c r="F41" s="161">
        <f>Model!F28</f>
        <v>-2451.4182881649999</v>
      </c>
    </row>
    <row r="42" spans="2:7" ht="15" customHeight="1" x14ac:dyDescent="0.25">
      <c r="B42" s="154" t="s">
        <v>79</v>
      </c>
      <c r="C42" s="162">
        <f>Model!C31</f>
        <v>10979.74737825</v>
      </c>
      <c r="D42" s="162">
        <f ca="1">Model!D31</f>
        <v>11193.541478997473</v>
      </c>
      <c r="E42" s="162">
        <f ca="1">Model!E31</f>
        <v>11390.318828732768</v>
      </c>
      <c r="F42" s="162">
        <f ca="1">Model!F31</f>
        <v>11739.197810020774</v>
      </c>
      <c r="G42" s="159"/>
    </row>
    <row r="43" spans="2:7" ht="6" customHeight="1" x14ac:dyDescent="0.25"/>
    <row r="44" spans="2:7" ht="15" customHeight="1" x14ac:dyDescent="0.25">
      <c r="B44" s="156" t="s">
        <v>25</v>
      </c>
      <c r="C44" s="163">
        <f>Model!D137</f>
        <v>1.7318893728608939E-2</v>
      </c>
      <c r="D44" s="163">
        <f ca="1">Model!E137</f>
        <v>1.7379543720731975E-2</v>
      </c>
      <c r="E44" s="163">
        <f ca="1">Model!F137</f>
        <v>1.7329328247827992E-2</v>
      </c>
      <c r="F44" s="163">
        <f ca="1">Model!G137</f>
        <v>1.7657823762927998E-2</v>
      </c>
    </row>
    <row r="45" spans="2:7" ht="15" customHeight="1" x14ac:dyDescent="0.25">
      <c r="B45" s="156" t="s">
        <v>80</v>
      </c>
      <c r="C45" s="163">
        <f>Model!C34</f>
        <v>8.3071030984013375E-2</v>
      </c>
      <c r="D45" s="163">
        <f ca="1">Model!D34</f>
        <v>8.3278024071860426E-2</v>
      </c>
      <c r="E45" s="163">
        <f ca="1">Model!E34</f>
        <v>8.0624402130768616E-2</v>
      </c>
      <c r="F45" s="163">
        <f ca="1">Model!F34</f>
        <v>8.1775265294385641E-2</v>
      </c>
    </row>
    <row r="46" spans="2:7" ht="15" customHeight="1" x14ac:dyDescent="0.25">
      <c r="B46" s="156" t="s">
        <v>81</v>
      </c>
      <c r="C46" s="163">
        <f>Model!C36</f>
        <v>0.62</v>
      </c>
      <c r="D46" s="163">
        <f ca="1">Model!D36</f>
        <v>0.62</v>
      </c>
      <c r="E46" s="163">
        <f ca="1">Model!E36</f>
        <v>0.62</v>
      </c>
      <c r="F46" s="163">
        <f ca="1">Model!F36</f>
        <v>0.62</v>
      </c>
    </row>
    <row r="47" spans="2:7" ht="6" customHeight="1" x14ac:dyDescent="0.25"/>
    <row r="48" spans="2:7" ht="24" customHeight="1" x14ac:dyDescent="0.25">
      <c r="B48" s="286" t="s">
        <v>82</v>
      </c>
      <c r="C48" s="286"/>
      <c r="D48" s="286"/>
      <c r="E48" s="286"/>
      <c r="F48" s="286"/>
      <c r="G48" s="137"/>
    </row>
    <row r="49" spans="2:7" ht="24" customHeight="1" x14ac:dyDescent="0.25">
      <c r="B49" s="137"/>
      <c r="C49" s="138" t="s">
        <v>83</v>
      </c>
      <c r="D49" s="138" t="s">
        <v>50</v>
      </c>
      <c r="E49" s="138" t="s">
        <v>51</v>
      </c>
      <c r="F49" s="138" t="s">
        <v>52</v>
      </c>
      <c r="G49" s="138" t="s">
        <v>53</v>
      </c>
    </row>
    <row r="50" spans="2:7" ht="15" customHeight="1" x14ac:dyDescent="0.25">
      <c r="B50" s="153" t="s">
        <v>84</v>
      </c>
      <c r="C50" s="164" t="s">
        <v>85</v>
      </c>
      <c r="D50" s="165">
        <f>Engine!D149</f>
        <v>0.83431390414703355</v>
      </c>
      <c r="E50" s="165">
        <f>Engine!E149</f>
        <v>0.83838372806970207</v>
      </c>
      <c r="F50" s="165">
        <f>Engine!F149</f>
        <v>0.8424734047919934</v>
      </c>
      <c r="G50" s="165">
        <f>Engine!G149</f>
        <v>0.84658303115683253</v>
      </c>
    </row>
    <row r="51" spans="2:7" ht="15" customHeight="1" x14ac:dyDescent="0.25">
      <c r="B51" s="153" t="s">
        <v>86</v>
      </c>
      <c r="C51" s="164" t="s">
        <v>85</v>
      </c>
      <c r="D51" s="165">
        <f>Engine!D151</f>
        <v>0.43241862368558898</v>
      </c>
      <c r="E51" s="165">
        <f ca="1">Engine!E151</f>
        <v>0.43725290987330645</v>
      </c>
      <c r="F51" s="165">
        <f ca="1">Engine!F151</f>
        <v>0.44208093143576421</v>
      </c>
      <c r="G51" s="165">
        <f ca="1">Engine!G151</f>
        <v>0.44691333016636053</v>
      </c>
    </row>
    <row r="52" spans="2:7" ht="15" customHeight="1" x14ac:dyDescent="0.25">
      <c r="B52" s="153" t="s">
        <v>27</v>
      </c>
      <c r="C52" s="164" t="s">
        <v>87</v>
      </c>
      <c r="D52" s="165">
        <f ca="1">Model!D145</f>
        <v>1.554406895307481</v>
      </c>
      <c r="E52" s="165">
        <f ca="1">Model!E145</f>
        <v>1.5354828102712694</v>
      </c>
      <c r="F52" s="165">
        <f ca="1">Model!F145</f>
        <v>1.5471072368084431</v>
      </c>
      <c r="G52" s="165">
        <f ca="1">Model!G145</f>
        <v>1.5580125044940392</v>
      </c>
    </row>
    <row r="53" spans="2:7" ht="15" customHeight="1" x14ac:dyDescent="0.25">
      <c r="B53" s="153" t="s">
        <v>28</v>
      </c>
      <c r="C53" s="164" t="s">
        <v>88</v>
      </c>
      <c r="D53" s="166">
        <f>Model!D146</f>
        <v>1.0198282625697861</v>
      </c>
      <c r="E53" s="166">
        <f ca="1">Model!E146</f>
        <v>0.96020359554417645</v>
      </c>
      <c r="F53" s="166">
        <f ca="1">Model!F146</f>
        <v>0.95989486960395332</v>
      </c>
      <c r="G53" s="166">
        <f ca="1">Model!G146</f>
        <v>0.95955064251513433</v>
      </c>
    </row>
    <row r="54" spans="2:7" ht="6" customHeight="1" x14ac:dyDescent="0.25"/>
    <row r="55" spans="2:7" ht="24" customHeight="1" x14ac:dyDescent="0.25">
      <c r="B55" s="286" t="s">
        <v>89</v>
      </c>
      <c r="C55" s="286"/>
      <c r="D55" s="286"/>
      <c r="E55" s="286"/>
      <c r="F55" s="286"/>
      <c r="G55" s="137"/>
    </row>
    <row r="56" spans="2:7" ht="24" customHeight="1" x14ac:dyDescent="0.25">
      <c r="B56" s="137"/>
      <c r="C56" s="138" t="s">
        <v>83</v>
      </c>
      <c r="D56" s="138" t="s">
        <v>50</v>
      </c>
      <c r="E56" s="138" t="s">
        <v>51</v>
      </c>
      <c r="F56" s="138" t="s">
        <v>52</v>
      </c>
      <c r="G56" s="138" t="s">
        <v>53</v>
      </c>
    </row>
    <row r="57" spans="2:7" ht="15" customHeight="1" x14ac:dyDescent="0.25">
      <c r="B57" s="153" t="s">
        <v>90</v>
      </c>
      <c r="C57" s="164" t="s">
        <v>91</v>
      </c>
      <c r="D57" s="165">
        <f>Model!D143</f>
        <v>0.1574559451731711</v>
      </c>
      <c r="E57" s="165">
        <f ca="1">Model!E143</f>
        <v>0.15879655825400396</v>
      </c>
      <c r="F57" s="165">
        <f ca="1">Model!F143</f>
        <v>0.16004729216554983</v>
      </c>
      <c r="G57" s="165">
        <f ca="1">Model!G143</f>
        <v>0.16127586668760976</v>
      </c>
    </row>
    <row r="58" spans="2:7" ht="15" customHeight="1" x14ac:dyDescent="0.25">
      <c r="B58" s="153" t="s">
        <v>92</v>
      </c>
      <c r="C58" s="164" t="s">
        <v>93</v>
      </c>
      <c r="D58" s="165">
        <f>Model!D144</f>
        <v>4.732327215974616E-2</v>
      </c>
      <c r="E58" s="165">
        <f ca="1">Model!E144</f>
        <v>4.8220985163880965E-2</v>
      </c>
      <c r="F58" s="165">
        <f ca="1">Model!F144</f>
        <v>4.9106112897947363E-2</v>
      </c>
      <c r="G58" s="165">
        <f ca="1">Model!G144</f>
        <v>4.9997928101486337E-2</v>
      </c>
    </row>
    <row r="59" spans="2:7" ht="15" customHeight="1" x14ac:dyDescent="0.25">
      <c r="B59" s="153" t="s">
        <v>27</v>
      </c>
      <c r="C59" s="164" t="s">
        <v>87</v>
      </c>
      <c r="D59" s="165">
        <f ca="1">Model!D145</f>
        <v>1.554406895307481</v>
      </c>
      <c r="E59" s="165">
        <f ca="1">Model!E145</f>
        <v>1.5354828102712694</v>
      </c>
      <c r="F59" s="165">
        <f ca="1">Model!F145</f>
        <v>1.5471072368084431</v>
      </c>
      <c r="G59" s="165">
        <f ca="1">Model!G145</f>
        <v>1.5580125044940392</v>
      </c>
    </row>
    <row r="60" spans="2:7" ht="15" customHeight="1" x14ac:dyDescent="0.25">
      <c r="B60" s="153" t="s">
        <v>28</v>
      </c>
      <c r="C60" s="164" t="s">
        <v>88</v>
      </c>
      <c r="D60" s="166">
        <f>Model!D146</f>
        <v>1.0198282625697861</v>
      </c>
      <c r="E60" s="166">
        <f ca="1">Model!E146</f>
        <v>0.96020359554417645</v>
      </c>
      <c r="F60" s="166">
        <f ca="1">Model!F146</f>
        <v>0.95989486960395332</v>
      </c>
      <c r="G60" s="166">
        <f ca="1">Model!G146</f>
        <v>0.95955064251513433</v>
      </c>
    </row>
    <row r="61" spans="2:7" ht="6" customHeight="1" x14ac:dyDescent="0.25"/>
    <row r="62" spans="2:7" ht="15" customHeight="1" x14ac:dyDescent="0.25">
      <c r="B62" s="152" t="s">
        <v>94</v>
      </c>
      <c r="C62" s="4"/>
      <c r="D62" s="4"/>
      <c r="E62" s="4"/>
      <c r="F62" s="4"/>
    </row>
    <row r="63" spans="2:7" ht="15" customHeight="1" x14ac:dyDescent="0.25">
      <c r="B63" s="153" t="s">
        <v>95</v>
      </c>
      <c r="D63" s="284">
        <f>Model!E225</f>
        <v>0.13244639910571748</v>
      </c>
      <c r="E63" s="284"/>
      <c r="F63" s="284"/>
    </row>
    <row r="64" spans="2:7" ht="15" customHeight="1" x14ac:dyDescent="0.25">
      <c r="B64" s="153" t="s">
        <v>96</v>
      </c>
      <c r="D64" s="287" t="str">
        <f>IF(Model!E225&gt;0.15,"BREACH — "&amp;TEXT(Model!E225,"0.0%")&amp;" &gt; 15%","PASS")</f>
        <v>PASS</v>
      </c>
      <c r="E64" s="287"/>
      <c r="F64" s="287"/>
    </row>
    <row r="65" spans="2:7" ht="15" customHeight="1" x14ac:dyDescent="0.25">
      <c r="B65" s="153" t="s">
        <v>97</v>
      </c>
      <c r="D65" s="284">
        <f>Model!C54</f>
        <v>0.34708373913108714</v>
      </c>
      <c r="E65" s="284"/>
      <c r="F65" s="284"/>
    </row>
    <row r="66" spans="2:7" ht="6" customHeight="1" x14ac:dyDescent="0.25"/>
    <row r="67" spans="2:7" ht="24" customHeight="1" x14ac:dyDescent="0.25">
      <c r="B67" s="152" t="s">
        <v>98</v>
      </c>
      <c r="C67" s="139"/>
      <c r="D67" s="139"/>
      <c r="E67" s="139"/>
      <c r="F67" s="139"/>
      <c r="G67" s="140"/>
    </row>
    <row r="68" spans="2:7" ht="24" customHeight="1" x14ac:dyDescent="0.25">
      <c r="B68" s="137"/>
      <c r="C68" s="138" t="s">
        <v>41</v>
      </c>
      <c r="D68" s="138" t="s">
        <v>99</v>
      </c>
      <c r="E68" s="138" t="s">
        <v>100</v>
      </c>
      <c r="F68" s="138" t="s">
        <v>101</v>
      </c>
      <c r="G68" s="138"/>
    </row>
    <row r="69" spans="2:7" ht="15" customHeight="1" x14ac:dyDescent="0.25">
      <c r="B69" s="153" t="s">
        <v>24</v>
      </c>
      <c r="C69" s="167">
        <f ca="1">Model!C154/1000</f>
        <v>22.685668548310964</v>
      </c>
      <c r="D69" s="167">
        <f ca="1">Model!D154/1000</f>
        <v>20.216592343310975</v>
      </c>
      <c r="E69" s="167">
        <f ca="1">Model!E154/1000</f>
        <v>18.81563942831097</v>
      </c>
      <c r="F69" s="167">
        <f ca="1">Model!F154/1000</f>
        <v>15.812501578310973</v>
      </c>
    </row>
    <row r="70" spans="2:7" ht="15" customHeight="1" x14ac:dyDescent="0.25">
      <c r="B70" s="153" t="s">
        <v>25</v>
      </c>
      <c r="C70" s="163">
        <f ca="1">Model!C155</f>
        <v>1.7379543720731975E-2</v>
      </c>
      <c r="D70" s="163">
        <f ca="1">Model!D155</f>
        <v>1.5487978666643618E-2</v>
      </c>
      <c r="E70" s="163">
        <f ca="1">Model!E155</f>
        <v>1.4414705362615632E-2</v>
      </c>
      <c r="F70" s="163">
        <f ca="1">Model!F155</f>
        <v>1.2113994433497085E-2</v>
      </c>
    </row>
    <row r="71" spans="2:7" ht="15" customHeight="1" x14ac:dyDescent="0.25">
      <c r="B71" s="153" t="s">
        <v>102</v>
      </c>
      <c r="C71" s="167">
        <f ca="1">Model!C162/1000</f>
        <v>11.193541478997471</v>
      </c>
      <c r="D71" s="167">
        <f ca="1">Model!D162/1000</f>
        <v>9.8215955647021431</v>
      </c>
      <c r="E71" s="167">
        <f ca="1">Model!E162/1000</f>
        <v>10.748335228805299</v>
      </c>
      <c r="F71" s="167">
        <f ca="1">Model!F162/1000</f>
        <v>5.9425852371489869</v>
      </c>
    </row>
    <row r="72" spans="2:7" ht="15" customHeight="1" x14ac:dyDescent="0.25">
      <c r="B72" s="153" t="s">
        <v>103</v>
      </c>
      <c r="C72" s="163">
        <f ca="1">Engine!C251</f>
        <v>0.15879655825400396</v>
      </c>
      <c r="D72" s="163">
        <f ca="1">Engine!C252</f>
        <v>0.15897644341917927</v>
      </c>
      <c r="E72" s="163">
        <f ca="1">Engine!C253</f>
        <v>0.1577781766647928</v>
      </c>
      <c r="F72" s="163">
        <f ca="1">Engine!C254</f>
        <v>0.1601904334042151</v>
      </c>
    </row>
    <row r="73" spans="2:7" ht="15" customHeight="1" x14ac:dyDescent="0.25">
      <c r="B73" s="285"/>
      <c r="C73" s="285"/>
      <c r="D73" s="285"/>
      <c r="E73" s="285"/>
      <c r="F73" s="285"/>
      <c r="G73" s="285"/>
    </row>
    <row r="74" spans="2:7" ht="15" customHeight="1" x14ac:dyDescent="0.25">
      <c r="B74" s="285" t="str">
        <f>"Model "&amp;Engine!C103&amp;"  |  Last updated: "&amp;TEXT(Engine!C111,"DD-MMM-YYYY")&amp;"  |  Prepared by: "&amp;Engine!F111</f>
        <v>Model v10  |  Last updated: 15-May-2026  |  Prepared by: Hossam Eltarrass</v>
      </c>
      <c r="C74" s="285"/>
      <c r="D74" s="285"/>
      <c r="E74" s="285"/>
      <c r="F74" s="285"/>
      <c r="G74" s="285"/>
    </row>
    <row r="75" spans="2:7" ht="6" customHeight="1" x14ac:dyDescent="0.25"/>
    <row r="76" spans="2:7" ht="24" customHeight="1" x14ac:dyDescent="0.25">
      <c r="B76" s="302"/>
      <c r="C76" s="302"/>
      <c r="D76" s="302"/>
      <c r="E76" s="302"/>
      <c r="F76" s="302"/>
      <c r="G76" s="302"/>
    </row>
    <row r="77" spans="2:7" x14ac:dyDescent="0.25"/>
    <row r="78" spans="2:7" x14ac:dyDescent="0.25"/>
    <row r="79" spans="2:7" x14ac:dyDescent="0.25"/>
    <row r="80" spans="2:7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ht="15" hidden="1" customHeight="1" x14ac:dyDescent="0.25">
      <c r="B122" t="s">
        <v>104</v>
      </c>
      <c r="D122">
        <v>0.13500000000000001</v>
      </c>
      <c r="E122">
        <v>0.13500000000000001</v>
      </c>
      <c r="F122">
        <v>0.13500000000000001</v>
      </c>
      <c r="G122">
        <v>0.13500000000000001</v>
      </c>
    </row>
  </sheetData>
  <mergeCells count="14">
    <mergeCell ref="B2:F2"/>
    <mergeCell ref="B3:F3"/>
    <mergeCell ref="B4:F4"/>
    <mergeCell ref="B6:F6"/>
    <mergeCell ref="B12:F12"/>
    <mergeCell ref="D65:F65"/>
    <mergeCell ref="B73:G73"/>
    <mergeCell ref="B74:G74"/>
    <mergeCell ref="B76:G76"/>
    <mergeCell ref="B35:F35"/>
    <mergeCell ref="B48:F48"/>
    <mergeCell ref="B55:F55"/>
    <mergeCell ref="D63:F63"/>
    <mergeCell ref="D64:F64"/>
  </mergeCells>
  <dataValidations count="1">
    <dataValidation type="list" showInputMessage="1" showErrorMessage="1" errorTitle="Invalid Scenario" error="Select Base, Rate Hike, Rate Cut, or Stress" promptTitle="Scenario" prompt="Select the active scenario" sqref="G3" xr:uid="{00000000-0002-0000-0100-000000000000}">
      <formula1>"Base,Rate Hike,Rate Cut,Stress"</formula1>
      <formula2>0</formula2>
    </dataValidation>
  </dataValidations>
  <pageMargins left="6.9444444444444441E-3" right="6.9444444444444441E-3" top="6.9444444444444441E-3" bottom="6.9444444444444441E-3" header="0.511811023622047" footer="0.511811023622047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B42"/>
    <pageSetUpPr fitToPage="1"/>
  </sheetPr>
  <dimension ref="A1:H58"/>
  <sheetViews>
    <sheetView showGridLines="0" tabSelected="1" zoomScale="61" zoomScaleNormal="61" workbookViewId="0">
      <selection activeCell="B40" sqref="B40"/>
    </sheetView>
  </sheetViews>
  <sheetFormatPr defaultColWidth="8.7109375" defaultRowHeight="15" customHeight="1" x14ac:dyDescent="0.25"/>
  <cols>
    <col min="1" max="1" width="2.42578125" customWidth="1"/>
    <col min="2" max="2" width="48" customWidth="1"/>
    <col min="3" max="4" width="18.7109375" customWidth="1"/>
    <col min="5" max="7" width="16" customWidth="1"/>
  </cols>
  <sheetData>
    <row r="1" spans="1:8" ht="30" customHeight="1" x14ac:dyDescent="0.25">
      <c r="A1" s="5"/>
      <c r="B1" s="170" t="s">
        <v>105</v>
      </c>
      <c r="C1" s="170"/>
      <c r="D1" s="170"/>
      <c r="E1" s="170"/>
      <c r="F1" s="170"/>
      <c r="G1" s="170"/>
      <c r="H1" s="170"/>
    </row>
    <row r="2" spans="1:8" ht="15" customHeight="1" x14ac:dyDescent="0.25">
      <c r="A2" s="8"/>
      <c r="B2" s="171" t="s">
        <v>106</v>
      </c>
      <c r="C2" s="172" t="s">
        <v>107</v>
      </c>
      <c r="D2" s="172" t="s">
        <v>50</v>
      </c>
      <c r="E2" s="8"/>
      <c r="F2" s="8"/>
      <c r="G2" s="8"/>
    </row>
    <row r="3" spans="1:8" ht="15" customHeight="1" x14ac:dyDescent="0.25">
      <c r="A3" s="8"/>
      <c r="B3" s="290" t="s">
        <v>54</v>
      </c>
      <c r="C3" s="290"/>
      <c r="D3" s="290"/>
      <c r="E3" s="8"/>
      <c r="F3" s="8"/>
      <c r="G3" s="8"/>
    </row>
    <row r="4" spans="1:8" ht="15.75" customHeight="1" x14ac:dyDescent="0.25">
      <c r="A4" s="8"/>
      <c r="B4" s="173" t="s">
        <v>108</v>
      </c>
      <c r="C4" s="169">
        <v>182496</v>
      </c>
      <c r="D4" s="169">
        <v>211330</v>
      </c>
      <c r="E4" s="8"/>
      <c r="F4" s="8"/>
      <c r="G4" s="8"/>
    </row>
    <row r="5" spans="1:8" ht="15.75" customHeight="1" x14ac:dyDescent="0.25">
      <c r="A5" s="8"/>
      <c r="B5" s="173" t="s">
        <v>109</v>
      </c>
      <c r="C5" s="169">
        <v>267357</v>
      </c>
      <c r="D5" s="169">
        <v>321293</v>
      </c>
      <c r="E5" s="8"/>
      <c r="F5" s="8"/>
      <c r="G5" s="8"/>
    </row>
    <row r="6" spans="1:8" ht="15.75" customHeight="1" x14ac:dyDescent="0.25">
      <c r="A6" s="8"/>
      <c r="B6" s="173" t="s">
        <v>110</v>
      </c>
      <c r="C6" s="169">
        <v>225699</v>
      </c>
      <c r="D6" s="169">
        <v>254310</v>
      </c>
      <c r="E6" s="8"/>
      <c r="F6" s="8"/>
      <c r="G6" s="8"/>
    </row>
    <row r="7" spans="1:8" ht="15.75" customHeight="1" x14ac:dyDescent="0.25">
      <c r="A7" s="8"/>
      <c r="B7" s="173" t="s">
        <v>111</v>
      </c>
      <c r="C7" s="169">
        <v>322631</v>
      </c>
      <c r="D7" s="169">
        <v>274625</v>
      </c>
      <c r="E7" s="8"/>
      <c r="F7" s="8"/>
      <c r="G7" s="8"/>
    </row>
    <row r="8" spans="1:8" ht="15.75" customHeight="1" x14ac:dyDescent="0.25">
      <c r="A8" s="8"/>
      <c r="B8" s="168" t="s">
        <v>112</v>
      </c>
      <c r="C8" s="169">
        <v>20851</v>
      </c>
      <c r="D8" s="169">
        <v>20017</v>
      </c>
      <c r="E8" s="8"/>
      <c r="F8" s="8"/>
      <c r="G8" s="8"/>
    </row>
    <row r="9" spans="1:8" ht="15.75" customHeight="1" x14ac:dyDescent="0.25">
      <c r="A9" s="8"/>
      <c r="B9" s="168" t="s">
        <v>113</v>
      </c>
      <c r="C9" s="169">
        <v>71430</v>
      </c>
      <c r="D9" s="169">
        <v>77940</v>
      </c>
      <c r="E9" s="8"/>
      <c r="F9" s="8"/>
      <c r="G9" s="8"/>
    </row>
    <row r="10" spans="1:8" ht="15.75" customHeight="1" x14ac:dyDescent="0.25">
      <c r="A10" s="8"/>
      <c r="B10" s="173" t="s">
        <v>114</v>
      </c>
      <c r="C10" s="169">
        <v>1610</v>
      </c>
      <c r="D10" s="169">
        <v>1420</v>
      </c>
      <c r="E10" s="8"/>
      <c r="F10" s="8"/>
      <c r="G10" s="8"/>
    </row>
    <row r="11" spans="1:8" ht="15.75" customHeight="1" x14ac:dyDescent="0.25">
      <c r="A11" s="8"/>
      <c r="B11" s="173" t="s">
        <v>115</v>
      </c>
      <c r="C11" s="169">
        <v>31147</v>
      </c>
      <c r="D11" s="169">
        <v>26259</v>
      </c>
      <c r="E11" s="8"/>
      <c r="F11" s="8"/>
      <c r="G11" s="8"/>
    </row>
    <row r="12" spans="1:8" ht="15.75" customHeight="1" x14ac:dyDescent="0.25">
      <c r="A12" s="8"/>
      <c r="B12" s="173" t="s">
        <v>116</v>
      </c>
      <c r="C12" s="169">
        <v>900141</v>
      </c>
      <c r="D12" s="169">
        <v>897358</v>
      </c>
      <c r="E12" s="8"/>
      <c r="F12" s="8"/>
      <c r="G12" s="8"/>
    </row>
    <row r="13" spans="1:8" ht="15.75" customHeight="1" x14ac:dyDescent="0.25">
      <c r="A13" s="8"/>
      <c r="B13" s="173" t="s">
        <v>117</v>
      </c>
      <c r="C13" s="169">
        <v>146975</v>
      </c>
      <c r="D13" s="169">
        <v>151687</v>
      </c>
      <c r="E13" s="8"/>
      <c r="F13" s="8"/>
      <c r="G13" s="8"/>
    </row>
    <row r="14" spans="1:8" ht="15.75" customHeight="1" x14ac:dyDescent="0.25">
      <c r="A14" s="8"/>
      <c r="B14" s="173" t="s">
        <v>118</v>
      </c>
      <c r="C14" s="169">
        <v>-758</v>
      </c>
      <c r="D14" s="169">
        <v>-2335</v>
      </c>
      <c r="E14" s="8"/>
      <c r="F14" s="8"/>
      <c r="G14" s="8"/>
    </row>
    <row r="15" spans="1:8" ht="15.75" customHeight="1" x14ac:dyDescent="0.25">
      <c r="A15" s="8"/>
      <c r="B15" s="168" t="s">
        <v>119</v>
      </c>
      <c r="C15" s="169">
        <v>286849</v>
      </c>
      <c r="D15" s="169">
        <v>305471</v>
      </c>
      <c r="E15" s="8"/>
      <c r="F15" s="8"/>
      <c r="G15" s="8"/>
    </row>
    <row r="16" spans="1:8" ht="15.75" customHeight="1" x14ac:dyDescent="0.25">
      <c r="A16" s="8"/>
      <c r="B16" s="173" t="s">
        <v>120</v>
      </c>
      <c r="C16" s="169">
        <v>6215</v>
      </c>
      <c r="D16" s="169">
        <v>5746</v>
      </c>
      <c r="E16" s="8"/>
      <c r="F16" s="8"/>
      <c r="G16" s="8"/>
    </row>
    <row r="17" spans="1:7" ht="15.75" customHeight="1" x14ac:dyDescent="0.25">
      <c r="A17" s="8"/>
      <c r="B17" s="173" t="s">
        <v>121</v>
      </c>
      <c r="C17" s="169">
        <v>174147</v>
      </c>
      <c r="D17" s="169">
        <v>167788</v>
      </c>
      <c r="E17" s="8"/>
      <c r="F17" s="8"/>
      <c r="G17" s="8"/>
    </row>
    <row r="18" spans="1:7" ht="15.75" customHeight="1" x14ac:dyDescent="0.25">
      <c r="A18" s="8"/>
      <c r="B18" s="173" t="s">
        <v>122</v>
      </c>
      <c r="C18" s="169">
        <v>7862</v>
      </c>
      <c r="D18" s="169">
        <v>6950</v>
      </c>
      <c r="E18" s="8"/>
      <c r="F18" s="8"/>
      <c r="G18" s="8"/>
    </row>
    <row r="19" spans="1:7" ht="15.75" customHeight="1" x14ac:dyDescent="0.25">
      <c r="A19" s="8"/>
      <c r="B19" s="173" t="s">
        <v>123</v>
      </c>
      <c r="C19" s="169">
        <v>50314</v>
      </c>
      <c r="D19" s="169">
        <v>53601</v>
      </c>
      <c r="E19" s="8"/>
      <c r="F19" s="8"/>
      <c r="G19" s="8"/>
    </row>
    <row r="20" spans="1:7" ht="15.75" customHeight="1" x14ac:dyDescent="0.25">
      <c r="A20" s="8"/>
      <c r="B20" s="173" t="s">
        <v>124</v>
      </c>
      <c r="C20" s="169">
        <v>4392</v>
      </c>
      <c r="D20" s="169">
        <v>4583</v>
      </c>
      <c r="E20" s="8"/>
      <c r="F20" s="8"/>
      <c r="G20" s="8"/>
    </row>
    <row r="21" spans="1:7" ht="15.75" customHeight="1" x14ac:dyDescent="0.25">
      <c r="A21" s="8"/>
      <c r="B21" s="173" t="s">
        <v>125</v>
      </c>
      <c r="C21" s="169">
        <v>5550</v>
      </c>
      <c r="D21" s="169">
        <v>7133</v>
      </c>
      <c r="E21" s="8"/>
      <c r="F21" s="8"/>
      <c r="G21" s="8"/>
    </row>
    <row r="22" spans="1:7" ht="15.75" customHeight="1" x14ac:dyDescent="0.25">
      <c r="A22" s="8"/>
      <c r="B22" s="174" t="s">
        <v>126</v>
      </c>
      <c r="C22" s="176"/>
      <c r="D22" s="178">
        <v>7805</v>
      </c>
      <c r="E22" s="8"/>
      <c r="F22" s="8"/>
      <c r="G22" s="8"/>
    </row>
    <row r="23" spans="1:7" ht="15" customHeight="1" x14ac:dyDescent="0.25">
      <c r="A23" s="8"/>
      <c r="B23" s="175" t="s">
        <v>61</v>
      </c>
      <c r="C23" s="177">
        <v>2704908</v>
      </c>
      <c r="D23" s="177">
        <v>2792981</v>
      </c>
      <c r="E23" s="8"/>
      <c r="F23" s="8"/>
      <c r="G23" s="8"/>
    </row>
    <row r="24" spans="1:7" ht="15" customHeight="1" x14ac:dyDescent="0.25">
      <c r="A24" s="8"/>
      <c r="B24" s="290" t="s">
        <v>127</v>
      </c>
      <c r="C24" s="290"/>
      <c r="D24" s="290"/>
      <c r="E24" s="8"/>
      <c r="F24" s="8"/>
      <c r="G24" s="8"/>
    </row>
    <row r="25" spans="1:7" ht="15.75" customHeight="1" x14ac:dyDescent="0.25">
      <c r="A25" s="8"/>
      <c r="B25" s="173" t="s">
        <v>128</v>
      </c>
      <c r="C25" s="169">
        <v>3366</v>
      </c>
      <c r="D25" s="169">
        <v>4401</v>
      </c>
      <c r="E25" s="8"/>
      <c r="F25" s="8"/>
      <c r="G25" s="8"/>
    </row>
    <row r="26" spans="1:7" ht="15.75" customHeight="1" x14ac:dyDescent="0.25">
      <c r="A26" s="8"/>
      <c r="B26" s="173" t="s">
        <v>129</v>
      </c>
      <c r="C26" s="169">
        <v>79958</v>
      </c>
      <c r="D26" s="169">
        <v>98487</v>
      </c>
      <c r="E26" s="8"/>
      <c r="F26" s="8"/>
      <c r="G26" s="8"/>
    </row>
    <row r="27" spans="1:7" ht="15.75" customHeight="1" x14ac:dyDescent="0.25">
      <c r="A27" s="8"/>
      <c r="B27" s="173" t="s">
        <v>130</v>
      </c>
      <c r="C27" s="169">
        <v>304817</v>
      </c>
      <c r="D27" s="169">
        <v>357947</v>
      </c>
      <c r="E27" s="8"/>
      <c r="F27" s="8"/>
      <c r="G27" s="8"/>
    </row>
    <row r="28" spans="1:7" ht="15.75" customHeight="1" x14ac:dyDescent="0.25">
      <c r="A28" s="8"/>
      <c r="B28" s="173" t="s">
        <v>131</v>
      </c>
      <c r="C28" s="169">
        <v>104934</v>
      </c>
      <c r="D28" s="169">
        <v>129279</v>
      </c>
      <c r="E28" s="8"/>
      <c r="F28" s="8"/>
      <c r="G28" s="8"/>
    </row>
    <row r="29" spans="1:7" ht="15.75" customHeight="1" x14ac:dyDescent="0.25">
      <c r="A29" s="8"/>
      <c r="B29" s="173" t="s">
        <v>132</v>
      </c>
      <c r="C29" s="169">
        <v>301953</v>
      </c>
      <c r="D29" s="169">
        <v>252726</v>
      </c>
      <c r="E29" s="8"/>
      <c r="F29" s="8"/>
      <c r="G29" s="8"/>
    </row>
    <row r="30" spans="1:7" ht="15.75" customHeight="1" x14ac:dyDescent="0.25">
      <c r="A30" s="8"/>
      <c r="B30" s="168" t="s">
        <v>133</v>
      </c>
      <c r="C30" s="169">
        <v>36864</v>
      </c>
      <c r="D30" s="169">
        <v>28493</v>
      </c>
      <c r="E30" s="8"/>
      <c r="F30" s="8"/>
      <c r="G30" s="8"/>
    </row>
    <row r="31" spans="1:7" ht="15.75" customHeight="1" x14ac:dyDescent="0.25">
      <c r="A31" s="8"/>
      <c r="B31" s="173" t="s">
        <v>134</v>
      </c>
      <c r="C31" s="169">
        <v>66872</v>
      </c>
      <c r="D31" s="169">
        <v>69938</v>
      </c>
      <c r="E31" s="8"/>
      <c r="F31" s="8"/>
      <c r="G31" s="8"/>
    </row>
    <row r="32" spans="1:7" ht="15.75" customHeight="1" x14ac:dyDescent="0.25">
      <c r="A32" s="8"/>
      <c r="B32" s="173" t="s">
        <v>135</v>
      </c>
      <c r="C32" s="169">
        <v>1034857</v>
      </c>
      <c r="D32" s="169">
        <v>1075564</v>
      </c>
      <c r="E32" s="8"/>
      <c r="F32" s="8"/>
      <c r="G32" s="8"/>
    </row>
    <row r="33" spans="1:7" ht="15.75" customHeight="1" x14ac:dyDescent="0.25">
      <c r="A33" s="8"/>
      <c r="B33" s="173" t="s">
        <v>136</v>
      </c>
      <c r="C33" s="169">
        <v>198119</v>
      </c>
      <c r="D33" s="169">
        <v>173933</v>
      </c>
      <c r="E33" s="8"/>
      <c r="F33" s="8"/>
      <c r="G33" s="8"/>
    </row>
    <row r="34" spans="1:7" ht="15.75" customHeight="1" x14ac:dyDescent="0.25">
      <c r="A34" s="8"/>
      <c r="B34" s="173" t="s">
        <v>137</v>
      </c>
      <c r="C34" s="169">
        <v>31799</v>
      </c>
      <c r="D34" s="169">
        <v>34468</v>
      </c>
      <c r="E34" s="8"/>
      <c r="F34" s="8"/>
      <c r="G34" s="8"/>
    </row>
    <row r="35" spans="1:7" ht="15.75" customHeight="1" x14ac:dyDescent="0.25">
      <c r="A35" s="8"/>
      <c r="B35" s="173" t="s">
        <v>118</v>
      </c>
      <c r="C35" s="169">
        <v>-10696</v>
      </c>
      <c r="D35" s="169">
        <v>-9811</v>
      </c>
      <c r="E35" s="8"/>
      <c r="F35" s="8"/>
      <c r="G35" s="8"/>
    </row>
    <row r="36" spans="1:7" ht="15.75" customHeight="1" x14ac:dyDescent="0.25">
      <c r="A36" s="8"/>
      <c r="B36" s="173" t="s">
        <v>138</v>
      </c>
      <c r="C36" s="169">
        <v>3657</v>
      </c>
      <c r="D36" s="169">
        <v>3336</v>
      </c>
      <c r="E36" s="8"/>
      <c r="F36" s="8"/>
      <c r="G36" s="8"/>
    </row>
    <row r="37" spans="1:7" ht="15.75" customHeight="1" x14ac:dyDescent="0.25">
      <c r="A37" s="8"/>
      <c r="B37" s="173" t="str">
        <f>"Model "&amp;Engine!C103&amp;"  |  Last updated: "&amp;TEXT(Engine!C111,"DD-MMM-YYYY")&amp;"  |  Prepared by: "&amp;Engine!F111</f>
        <v>Model v10  |  Last updated: 15-May-2026  |  Prepared by: Hossam Eltarrass</v>
      </c>
      <c r="C37" s="169">
        <v>136955</v>
      </c>
      <c r="D37" s="169">
        <v>143059</v>
      </c>
      <c r="E37" s="8"/>
      <c r="F37" s="8"/>
      <c r="G37" s="8"/>
    </row>
    <row r="38" spans="1:7" ht="15.75" customHeight="1" x14ac:dyDescent="0.25">
      <c r="A38" s="8"/>
      <c r="B38" s="173" t="s">
        <v>139</v>
      </c>
      <c r="C38" s="169">
        <v>247699</v>
      </c>
      <c r="D38" s="169">
        <v>261223</v>
      </c>
      <c r="E38" s="8"/>
      <c r="F38" s="8"/>
      <c r="G38" s="8"/>
    </row>
    <row r="39" spans="1:7" ht="15.75" customHeight="1" x14ac:dyDescent="0.25">
      <c r="A39" s="8"/>
      <c r="B39" s="173" t="s">
        <v>140</v>
      </c>
      <c r="C39" s="169">
        <v>19807</v>
      </c>
      <c r="D39" s="169">
        <v>21500</v>
      </c>
      <c r="E39" s="8"/>
      <c r="F39" s="8"/>
      <c r="G39" s="8"/>
    </row>
    <row r="40" spans="1:7" ht="15.75" customHeight="1" x14ac:dyDescent="0.25">
      <c r="A40" s="8"/>
      <c r="B40" s="173" t="s">
        <v>141</v>
      </c>
      <c r="C40" s="169">
        <v>9806</v>
      </c>
      <c r="D40" s="169">
        <v>10193</v>
      </c>
      <c r="E40" s="8"/>
      <c r="F40" s="8"/>
      <c r="G40" s="8"/>
    </row>
    <row r="41" spans="1:7" ht="15.75" customHeight="1" x14ac:dyDescent="0.25">
      <c r="A41" s="8"/>
      <c r="B41" s="174" t="s">
        <v>142</v>
      </c>
      <c r="C41" s="176"/>
      <c r="D41" s="178">
        <v>6072</v>
      </c>
      <c r="E41" s="8"/>
      <c r="F41" s="8"/>
      <c r="G41" s="8"/>
    </row>
    <row r="42" spans="1:7" ht="15" customHeight="1" x14ac:dyDescent="0.25">
      <c r="A42" s="8"/>
      <c r="B42" s="179" t="s">
        <v>69</v>
      </c>
      <c r="C42" s="177">
        <v>2570767</v>
      </c>
      <c r="D42" s="177">
        <v>2660808</v>
      </c>
      <c r="E42" s="8"/>
      <c r="F42" s="8"/>
      <c r="G42" s="8"/>
    </row>
    <row r="43" spans="1:7" ht="15" customHeight="1" x14ac:dyDescent="0.25">
      <c r="A43" s="8"/>
      <c r="B43" s="290" t="s">
        <v>143</v>
      </c>
      <c r="C43" s="290"/>
      <c r="D43" s="290"/>
      <c r="E43" s="8"/>
      <c r="F43" s="8"/>
      <c r="G43" s="8"/>
    </row>
    <row r="44" spans="1:7" ht="15.75" customHeight="1" x14ac:dyDescent="0.25">
      <c r="A44" s="8"/>
      <c r="B44" s="173" t="s">
        <v>144</v>
      </c>
      <c r="C44" s="169">
        <v>118957</v>
      </c>
      <c r="D44" s="169">
        <v>117787</v>
      </c>
      <c r="E44" s="8"/>
      <c r="F44" s="8"/>
      <c r="G44" s="8"/>
    </row>
    <row r="45" spans="1:7" ht="15.75" customHeight="1" x14ac:dyDescent="0.25">
      <c r="A45" s="8"/>
      <c r="B45" s="174" t="s">
        <v>145</v>
      </c>
      <c r="C45" s="178">
        <v>11688</v>
      </c>
      <c r="D45" s="178">
        <v>12225</v>
      </c>
      <c r="E45" s="8"/>
      <c r="F45" s="8"/>
      <c r="G45" s="8"/>
    </row>
    <row r="46" spans="1:7" ht="15.75" customHeight="1" x14ac:dyDescent="0.25">
      <c r="A46" s="8"/>
      <c r="B46" s="179" t="s">
        <v>146</v>
      </c>
      <c r="C46" s="177">
        <v>130645</v>
      </c>
      <c r="D46" s="177">
        <v>130012</v>
      </c>
      <c r="E46" s="8"/>
      <c r="F46" s="8"/>
      <c r="G46" s="8"/>
    </row>
    <row r="47" spans="1:7" ht="15.75" customHeight="1" x14ac:dyDescent="0.25">
      <c r="A47" s="8"/>
      <c r="B47" s="173" t="s">
        <v>147</v>
      </c>
      <c r="C47" s="169">
        <v>-2508</v>
      </c>
      <c r="D47" s="169">
        <v>-4499</v>
      </c>
      <c r="E47" s="8"/>
      <c r="F47" s="8"/>
      <c r="G47" s="8"/>
    </row>
    <row r="48" spans="1:7" ht="15.75" customHeight="1" x14ac:dyDescent="0.25">
      <c r="A48" s="8"/>
      <c r="B48" s="173" t="s">
        <v>148</v>
      </c>
      <c r="C48" s="169">
        <v>128137</v>
      </c>
      <c r="D48" s="169">
        <v>125513</v>
      </c>
      <c r="E48" s="8"/>
      <c r="F48" s="8"/>
      <c r="G48" s="8"/>
    </row>
    <row r="49" spans="1:7" ht="15.75" customHeight="1" x14ac:dyDescent="0.25">
      <c r="A49" s="8"/>
      <c r="B49" s="174" t="s">
        <v>149</v>
      </c>
      <c r="C49" s="178">
        <v>6004</v>
      </c>
      <c r="D49" s="178">
        <v>6660</v>
      </c>
      <c r="E49" s="8"/>
      <c r="F49" s="8"/>
      <c r="G49" s="8"/>
    </row>
    <row r="50" spans="1:7" ht="15" customHeight="1" x14ac:dyDescent="0.25">
      <c r="A50" s="8"/>
      <c r="B50" s="180" t="s">
        <v>150</v>
      </c>
      <c r="C50" s="181">
        <v>134141</v>
      </c>
      <c r="D50" s="181">
        <v>132173</v>
      </c>
      <c r="E50" s="8"/>
      <c r="F50" s="8"/>
      <c r="G50" s="8"/>
    </row>
    <row r="51" spans="1:7" ht="15" customHeight="1" thickBot="1" x14ac:dyDescent="0.3">
      <c r="A51" s="8"/>
      <c r="B51" s="179" t="s">
        <v>151</v>
      </c>
      <c r="C51" s="177">
        <v>2704908</v>
      </c>
      <c r="D51" s="177">
        <v>2792981</v>
      </c>
      <c r="E51" s="8"/>
      <c r="F51" s="8"/>
      <c r="G51" s="8"/>
    </row>
    <row r="52" spans="1:7" ht="15" customHeight="1" x14ac:dyDescent="0.25">
      <c r="A52" s="8"/>
      <c r="B52" s="8"/>
      <c r="C52" s="8"/>
      <c r="D52" s="8"/>
      <c r="E52" s="8"/>
      <c r="F52" s="8"/>
      <c r="G52" s="8"/>
    </row>
    <row r="53" spans="1:7" ht="15" customHeight="1" x14ac:dyDescent="0.25">
      <c r="A53" s="8"/>
      <c r="B53" s="291" t="s">
        <v>152</v>
      </c>
      <c r="C53" s="292"/>
      <c r="D53" s="292"/>
      <c r="E53" s="8"/>
      <c r="F53" s="8"/>
      <c r="G53" s="8"/>
    </row>
    <row r="54" spans="1:7" ht="15" customHeight="1" x14ac:dyDescent="0.25">
      <c r="A54" s="8"/>
      <c r="B54" s="8"/>
      <c r="C54" s="8"/>
      <c r="D54" s="8"/>
      <c r="E54" s="8"/>
      <c r="F54" s="8"/>
      <c r="G54" s="8"/>
    </row>
    <row r="55" spans="1:7" ht="15" customHeight="1" x14ac:dyDescent="0.25">
      <c r="A55" s="8"/>
      <c r="B55" s="8"/>
      <c r="C55" s="8"/>
      <c r="D55" s="8"/>
      <c r="E55" s="8"/>
      <c r="F55" s="8"/>
      <c r="G55" s="8"/>
    </row>
    <row r="56" spans="1:7" ht="15" customHeight="1" x14ac:dyDescent="0.25">
      <c r="A56" s="8"/>
      <c r="B56" s="8"/>
      <c r="C56" s="8"/>
      <c r="D56" s="8"/>
      <c r="E56" s="8"/>
      <c r="F56" s="8"/>
      <c r="G56" s="8"/>
    </row>
    <row r="57" spans="1:7" ht="15" customHeight="1" x14ac:dyDescent="0.25">
      <c r="A57" s="8"/>
      <c r="B57" s="8"/>
      <c r="C57" s="8"/>
      <c r="D57" s="8"/>
      <c r="E57" s="8"/>
      <c r="F57" s="8"/>
      <c r="G57" s="8"/>
    </row>
    <row r="58" spans="1:7" ht="15" customHeight="1" x14ac:dyDescent="0.25">
      <c r="A58" s="8"/>
      <c r="B58" s="8"/>
      <c r="C58" s="8"/>
      <c r="D58" s="8"/>
      <c r="E58" s="8"/>
      <c r="F58" s="8"/>
      <c r="G58" s="8"/>
    </row>
  </sheetData>
  <mergeCells count="4">
    <mergeCell ref="B3:D3"/>
    <mergeCell ref="B24:D24"/>
    <mergeCell ref="B43:D43"/>
    <mergeCell ref="B53:D53"/>
  </mergeCells>
  <pageMargins left="6.9444444444444441E-3" right="6.9444444444444441E-3" top="6.9444444444444441E-3" bottom="6.9444444444444441E-3" header="0.511811023622047" footer="0.511811023622047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B42"/>
    <pageSetUpPr fitToPage="1"/>
  </sheetPr>
  <dimension ref="A1:L269"/>
  <sheetViews>
    <sheetView showGridLines="0" tabSelected="1" topLeftCell="A93" zoomScale="67" zoomScaleNormal="68" workbookViewId="0">
      <selection activeCell="B40" sqref="B40"/>
    </sheetView>
  </sheetViews>
  <sheetFormatPr defaultColWidth="8.7109375" defaultRowHeight="15" customHeight="1" x14ac:dyDescent="0.25"/>
  <cols>
    <col min="1" max="1" width="1.5703125" customWidth="1"/>
    <col min="2" max="2" width="48" customWidth="1"/>
    <col min="3" max="7" width="17.140625" customWidth="1"/>
    <col min="8" max="8" width="38.140625" customWidth="1"/>
    <col min="9" max="11" width="13.28515625" customWidth="1"/>
  </cols>
  <sheetData>
    <row r="1" spans="1:12" ht="15" customHeight="1" x14ac:dyDescent="0.25">
      <c r="A1" s="5"/>
      <c r="B1" s="6" t="s">
        <v>153</v>
      </c>
      <c r="C1" s="6"/>
      <c r="D1" s="6"/>
      <c r="E1" s="6"/>
      <c r="F1" s="6"/>
      <c r="G1" s="6"/>
      <c r="H1" s="6"/>
      <c r="I1" s="6"/>
      <c r="J1" s="15"/>
      <c r="K1" s="8"/>
      <c r="L1" s="8"/>
    </row>
    <row r="2" spans="1:12" ht="15" customHeight="1" x14ac:dyDescent="0.25">
      <c r="A2" s="5"/>
      <c r="B2" s="16" t="s">
        <v>154</v>
      </c>
      <c r="C2" s="16"/>
      <c r="D2" s="16"/>
      <c r="E2" s="16"/>
      <c r="F2" s="16"/>
      <c r="G2" s="16"/>
      <c r="H2" s="16"/>
      <c r="I2" s="16"/>
      <c r="J2" s="15"/>
      <c r="K2" s="8"/>
      <c r="L2" s="8"/>
    </row>
    <row r="3" spans="1:12" ht="15" customHeight="1" x14ac:dyDescent="0.25">
      <c r="A3" s="8"/>
      <c r="B3" s="295"/>
      <c r="C3" s="295"/>
      <c r="D3" s="295"/>
      <c r="E3" s="295"/>
      <c r="F3" s="295"/>
      <c r="G3" s="295"/>
      <c r="H3" s="295"/>
      <c r="I3" s="8"/>
      <c r="J3" s="8"/>
      <c r="K3" s="8"/>
      <c r="L3" s="8"/>
    </row>
    <row r="4" spans="1:12" ht="15" customHeight="1" x14ac:dyDescent="0.25">
      <c r="A4" s="8"/>
      <c r="B4" s="182" t="s">
        <v>155</v>
      </c>
      <c r="C4" s="17">
        <f>Dashboard!G4</f>
        <v>1</v>
      </c>
      <c r="D4" s="296"/>
      <c r="E4" s="296"/>
      <c r="F4" s="296"/>
      <c r="G4" s="296"/>
      <c r="H4" s="296"/>
      <c r="I4" s="8"/>
      <c r="J4" s="8"/>
      <c r="K4" s="8"/>
      <c r="L4" s="8"/>
    </row>
    <row r="5" spans="1:12" ht="15" customHeight="1" x14ac:dyDescent="0.25">
      <c r="A5" s="8"/>
      <c r="B5" s="266" t="str">
        <f>"▶ LIVE SCENARIO: "&amp;CHOOSE($C$4,"Base","Rate Hike","Rate Cut","Stress")</f>
        <v>▶ LIVE SCENARIO: Base</v>
      </c>
      <c r="C5" s="18">
        <f t="shared" ref="C5:K5" si="0">CHOOSE($C$4,C7,C8,C9,C10)</f>
        <v>0</v>
      </c>
      <c r="D5" s="19">
        <f t="shared" si="0"/>
        <v>0.03</v>
      </c>
      <c r="E5" s="19">
        <f t="shared" si="0"/>
        <v>2.5000000000000001E-2</v>
      </c>
      <c r="F5" s="20">
        <f t="shared" si="0"/>
        <v>0.4</v>
      </c>
      <c r="G5" s="21">
        <f t="shared" si="0"/>
        <v>25</v>
      </c>
      <c r="H5" s="22">
        <f t="shared" si="0"/>
        <v>0.62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8"/>
    </row>
    <row r="6" spans="1:12" ht="15" customHeight="1" x14ac:dyDescent="0.25">
      <c r="A6" s="8"/>
      <c r="B6" s="183"/>
      <c r="C6" s="10" t="s">
        <v>156</v>
      </c>
      <c r="D6" s="10" t="s">
        <v>157</v>
      </c>
      <c r="E6" s="10" t="s">
        <v>158</v>
      </c>
      <c r="F6" s="10" t="s">
        <v>159</v>
      </c>
      <c r="G6" s="10" t="s">
        <v>160</v>
      </c>
      <c r="H6" s="10" t="s">
        <v>161</v>
      </c>
      <c r="I6" s="10" t="s">
        <v>162</v>
      </c>
      <c r="J6" s="10" t="s">
        <v>163</v>
      </c>
      <c r="K6" s="10" t="s">
        <v>164</v>
      </c>
      <c r="L6" s="8"/>
    </row>
    <row r="7" spans="1:12" ht="15" customHeight="1" x14ac:dyDescent="0.25">
      <c r="A7" s="8"/>
      <c r="B7" s="11" t="s">
        <v>165</v>
      </c>
      <c r="C7" s="12">
        <v>0</v>
      </c>
      <c r="D7" s="24">
        <v>0.03</v>
      </c>
      <c r="E7" s="24">
        <v>2.5000000000000001E-2</v>
      </c>
      <c r="F7" s="24">
        <v>0.4</v>
      </c>
      <c r="G7" s="12">
        <v>25</v>
      </c>
      <c r="H7" s="22">
        <v>0.62</v>
      </c>
      <c r="I7" s="23">
        <v>0</v>
      </c>
      <c r="J7" s="23">
        <v>0</v>
      </c>
      <c r="K7" s="23">
        <v>0</v>
      </c>
      <c r="L7" s="8"/>
    </row>
    <row r="8" spans="1:12" ht="15" customHeight="1" x14ac:dyDescent="0.25">
      <c r="A8" s="8"/>
      <c r="B8" s="182" t="s">
        <v>166</v>
      </c>
      <c r="C8" s="24">
        <v>0.02</v>
      </c>
      <c r="D8" s="24">
        <v>0.02</v>
      </c>
      <c r="E8" s="24">
        <v>0.02</v>
      </c>
      <c r="F8" s="24">
        <v>0.5</v>
      </c>
      <c r="G8" s="12">
        <v>30</v>
      </c>
      <c r="H8" s="22">
        <v>0.63</v>
      </c>
      <c r="I8" s="23">
        <v>0.02</v>
      </c>
      <c r="J8" s="23">
        <v>0.01</v>
      </c>
      <c r="K8" s="23">
        <v>0.01</v>
      </c>
      <c r="L8" s="8"/>
    </row>
    <row r="9" spans="1:12" ht="15" customHeight="1" x14ac:dyDescent="0.25">
      <c r="A9" s="8"/>
      <c r="B9" s="11" t="s">
        <v>167</v>
      </c>
      <c r="C9" s="24">
        <v>-0.02</v>
      </c>
      <c r="D9" s="24">
        <v>0.04</v>
      </c>
      <c r="E9" s="24">
        <v>0.03</v>
      </c>
      <c r="F9" s="24">
        <v>0.3</v>
      </c>
      <c r="G9" s="12">
        <v>20</v>
      </c>
      <c r="H9" s="22">
        <v>0.61</v>
      </c>
      <c r="I9" s="23">
        <v>-0.02</v>
      </c>
      <c r="J9" s="23">
        <v>-0.01</v>
      </c>
      <c r="K9" s="23">
        <v>-0.01</v>
      </c>
      <c r="L9" s="8"/>
    </row>
    <row r="10" spans="1:12" ht="15" customHeight="1" x14ac:dyDescent="0.25">
      <c r="A10" s="8"/>
      <c r="B10" s="182" t="s">
        <v>168</v>
      </c>
      <c r="C10" s="24">
        <v>0.03</v>
      </c>
      <c r="D10" s="24">
        <v>0.01</v>
      </c>
      <c r="E10" s="12">
        <v>0</v>
      </c>
      <c r="F10" s="24">
        <v>0.6</v>
      </c>
      <c r="G10" s="12">
        <v>60</v>
      </c>
      <c r="H10" s="22">
        <v>0.65</v>
      </c>
      <c r="I10" s="23">
        <v>-0.05</v>
      </c>
      <c r="J10" s="23">
        <v>-0.1</v>
      </c>
      <c r="K10" s="23">
        <v>-0.15</v>
      </c>
      <c r="L10" s="8"/>
    </row>
    <row r="11" spans="1:12" ht="15" customHeight="1" x14ac:dyDescent="0.25">
      <c r="A11" s="8"/>
      <c r="B11" s="183"/>
      <c r="C11" s="183"/>
      <c r="D11" s="183"/>
      <c r="E11" s="183"/>
      <c r="F11" s="183"/>
      <c r="G11" s="183"/>
      <c r="H11" s="25"/>
      <c r="I11" s="8"/>
      <c r="J11" s="8"/>
      <c r="K11" s="8"/>
      <c r="L11" s="8"/>
    </row>
    <row r="12" spans="1:12" ht="15" customHeight="1" collapsed="1" x14ac:dyDescent="0.25">
      <c r="A12" s="5"/>
      <c r="B12" s="16" t="s">
        <v>169</v>
      </c>
      <c r="C12" s="16"/>
      <c r="D12" s="16"/>
      <c r="E12" s="16"/>
      <c r="F12" s="16"/>
      <c r="G12" s="16"/>
      <c r="H12" s="16"/>
      <c r="I12" s="16"/>
      <c r="J12" s="15"/>
      <c r="K12" s="8"/>
      <c r="L12" s="8"/>
    </row>
    <row r="13" spans="1:12" ht="15" customHeight="1" x14ac:dyDescent="0.25">
      <c r="A13" s="8"/>
      <c r="B13" s="9" t="s">
        <v>170</v>
      </c>
      <c r="C13" s="10" t="s">
        <v>107</v>
      </c>
      <c r="D13" s="10" t="s">
        <v>50</v>
      </c>
      <c r="E13" s="10" t="s">
        <v>51</v>
      </c>
      <c r="F13" s="10" t="s">
        <v>52</v>
      </c>
      <c r="G13" s="10" t="s">
        <v>53</v>
      </c>
      <c r="H13" s="10" t="s">
        <v>171</v>
      </c>
      <c r="I13" s="8"/>
      <c r="J13" s="8"/>
      <c r="K13" s="8"/>
      <c r="L13" s="8"/>
    </row>
    <row r="14" spans="1:12" ht="15" customHeight="1" x14ac:dyDescent="0.25">
      <c r="A14" s="8"/>
      <c r="B14" s="182" t="s">
        <v>172</v>
      </c>
      <c r="C14" s="24">
        <v>0.04</v>
      </c>
      <c r="D14" s="24">
        <v>2.5000000000000001E-2</v>
      </c>
      <c r="E14" s="24">
        <v>2.2499999999999999E-2</v>
      </c>
      <c r="F14" s="24">
        <v>0.02</v>
      </c>
      <c r="G14" s="24">
        <v>0.02</v>
      </c>
      <c r="H14" s="26" t="s">
        <v>173</v>
      </c>
      <c r="I14" s="8"/>
      <c r="J14" s="8"/>
      <c r="K14" s="8"/>
      <c r="L14" s="8"/>
    </row>
    <row r="15" spans="1:12" ht="15" customHeight="1" x14ac:dyDescent="0.25">
      <c r="A15" s="8"/>
      <c r="B15" s="182" t="s">
        <v>174</v>
      </c>
      <c r="C15" s="24">
        <v>3.9E-2</v>
      </c>
      <c r="D15" s="24">
        <v>2.5999999999999999E-2</v>
      </c>
      <c r="E15" s="24">
        <v>2.35E-2</v>
      </c>
      <c r="F15" s="24">
        <v>2.1000000000000001E-2</v>
      </c>
      <c r="G15" s="24">
        <v>2.1000000000000001E-2</v>
      </c>
      <c r="H15" s="26" t="s">
        <v>175</v>
      </c>
      <c r="I15" s="8"/>
      <c r="J15" s="8"/>
      <c r="K15" s="8"/>
      <c r="L15" s="8"/>
    </row>
    <row r="16" spans="1:12" ht="15" customHeight="1" x14ac:dyDescent="0.25">
      <c r="A16" s="8"/>
      <c r="B16" s="182" t="s">
        <v>176</v>
      </c>
      <c r="C16" s="24">
        <v>2.9000000000000001E-2</v>
      </c>
      <c r="D16" s="24">
        <v>2.8000000000000001E-2</v>
      </c>
      <c r="E16" s="24">
        <v>2.7E-2</v>
      </c>
      <c r="F16" s="24">
        <v>2.5999999999999999E-2</v>
      </c>
      <c r="G16" s="24">
        <v>2.5499999999999998E-2</v>
      </c>
      <c r="H16" s="26" t="s">
        <v>177</v>
      </c>
      <c r="I16" s="8"/>
      <c r="J16" s="8"/>
      <c r="K16" s="8"/>
      <c r="L16" s="8"/>
    </row>
    <row r="17" spans="1:12" ht="15" customHeight="1" x14ac:dyDescent="0.25">
      <c r="A17" s="8"/>
      <c r="B17" s="182" t="s">
        <v>178</v>
      </c>
      <c r="C17" s="24">
        <v>2.7E-2</v>
      </c>
      <c r="D17" s="24">
        <v>2.5999999999999999E-2</v>
      </c>
      <c r="E17" s="24">
        <v>2.5499999999999998E-2</v>
      </c>
      <c r="F17" s="24">
        <v>2.5000000000000001E-2</v>
      </c>
      <c r="G17" s="24">
        <v>2.4500000000000001E-2</v>
      </c>
      <c r="H17" s="26" t="s">
        <v>177</v>
      </c>
      <c r="I17" s="8"/>
      <c r="J17" s="8"/>
      <c r="K17" s="8"/>
      <c r="L17" s="8"/>
    </row>
    <row r="18" spans="1:12" ht="15" customHeight="1" x14ac:dyDescent="0.25">
      <c r="A18" s="8"/>
      <c r="B18" s="182" t="s">
        <v>179</v>
      </c>
      <c r="C18" s="27"/>
      <c r="D18" s="19">
        <f t="shared" ref="D18:G19" si="1">D14-C14</f>
        <v>-1.4999999999999999E-2</v>
      </c>
      <c r="E18" s="19">
        <f t="shared" si="1"/>
        <v>-2.5000000000000022E-3</v>
      </c>
      <c r="F18" s="19">
        <f t="shared" si="1"/>
        <v>-2.4999999999999988E-3</v>
      </c>
      <c r="G18" s="19">
        <f t="shared" si="1"/>
        <v>0</v>
      </c>
      <c r="H18" s="28"/>
      <c r="I18" s="8"/>
      <c r="J18" s="8"/>
      <c r="K18" s="8"/>
      <c r="L18" s="8"/>
    </row>
    <row r="19" spans="1:12" ht="15" customHeight="1" x14ac:dyDescent="0.25">
      <c r="A19" s="8"/>
      <c r="B19" s="182" t="s">
        <v>180</v>
      </c>
      <c r="C19" s="27"/>
      <c r="D19" s="19">
        <f t="shared" si="1"/>
        <v>-1.3000000000000001E-2</v>
      </c>
      <c r="E19" s="19">
        <f t="shared" si="1"/>
        <v>-2.4999999999999988E-3</v>
      </c>
      <c r="F19" s="19">
        <f t="shared" si="1"/>
        <v>-2.4999999999999988E-3</v>
      </c>
      <c r="G19" s="19">
        <f t="shared" si="1"/>
        <v>0</v>
      </c>
      <c r="H19" s="28"/>
      <c r="I19" s="8"/>
      <c r="J19" s="8"/>
      <c r="K19" s="8"/>
      <c r="L19" s="8"/>
    </row>
    <row r="20" spans="1:12" ht="15" customHeight="1" x14ac:dyDescent="0.25">
      <c r="A20" s="8"/>
      <c r="B20" s="183"/>
      <c r="C20" s="183"/>
      <c r="D20" s="183"/>
      <c r="E20" s="183"/>
      <c r="F20" s="183"/>
      <c r="G20" s="183"/>
      <c r="H20" s="25"/>
      <c r="I20" s="8"/>
      <c r="J20" s="8"/>
      <c r="K20" s="8"/>
      <c r="L20" s="8"/>
    </row>
    <row r="21" spans="1:12" ht="15" customHeight="1" collapsed="1" x14ac:dyDescent="0.25">
      <c r="A21" s="5"/>
      <c r="B21" s="16" t="s">
        <v>181</v>
      </c>
      <c r="C21" s="16"/>
      <c r="D21" s="16"/>
      <c r="E21" s="16"/>
      <c r="F21" s="16"/>
      <c r="G21" s="16"/>
      <c r="H21" s="16"/>
      <c r="I21" s="16"/>
      <c r="J21" s="15"/>
      <c r="K21" s="8"/>
      <c r="L21" s="8"/>
    </row>
    <row r="22" spans="1:12" ht="15" customHeight="1" x14ac:dyDescent="0.25">
      <c r="A22" s="8"/>
      <c r="B22" s="9" t="s">
        <v>182</v>
      </c>
      <c r="C22" s="10" t="s">
        <v>107</v>
      </c>
      <c r="D22" s="10" t="s">
        <v>50</v>
      </c>
      <c r="E22" s="10" t="s">
        <v>51</v>
      </c>
      <c r="F22" s="10" t="s">
        <v>52</v>
      </c>
      <c r="G22" s="10" t="s">
        <v>53</v>
      </c>
      <c r="H22" s="10" t="s">
        <v>171</v>
      </c>
      <c r="I22" s="8"/>
      <c r="J22" s="8"/>
      <c r="K22" s="8"/>
      <c r="L22" s="8"/>
    </row>
    <row r="23" spans="1:12" ht="15" customHeight="1" x14ac:dyDescent="0.25">
      <c r="A23" s="8"/>
      <c r="B23" s="182" t="s">
        <v>183</v>
      </c>
      <c r="C23" s="24">
        <v>1.2E-2</v>
      </c>
      <c r="D23" s="24">
        <v>1.2E-2</v>
      </c>
      <c r="E23" s="24">
        <v>1.2E-2</v>
      </c>
      <c r="F23" s="24">
        <v>1.2E-2</v>
      </c>
      <c r="G23" s="24">
        <v>1.2E-2</v>
      </c>
      <c r="H23" s="26" t="s">
        <v>184</v>
      </c>
      <c r="I23" s="8"/>
      <c r="J23" s="8"/>
      <c r="K23" s="8"/>
      <c r="L23" s="8"/>
    </row>
    <row r="24" spans="1:12" ht="15" customHeight="1" x14ac:dyDescent="0.25">
      <c r="A24" s="8"/>
      <c r="B24" s="182" t="s">
        <v>185</v>
      </c>
      <c r="C24" s="24">
        <v>0.9</v>
      </c>
      <c r="D24" s="24">
        <v>0.9</v>
      </c>
      <c r="E24" s="24">
        <v>0.9</v>
      </c>
      <c r="F24" s="24">
        <v>0.9</v>
      </c>
      <c r="G24" s="24">
        <v>0.9</v>
      </c>
      <c r="H24" s="26" t="s">
        <v>186</v>
      </c>
      <c r="I24" s="8"/>
      <c r="J24" s="8"/>
      <c r="K24" s="8"/>
      <c r="L24" s="8"/>
    </row>
    <row r="25" spans="1:12" ht="15" customHeight="1" x14ac:dyDescent="0.25">
      <c r="A25" s="8"/>
      <c r="B25" s="182" t="s">
        <v>187</v>
      </c>
      <c r="C25" s="24">
        <v>-0.02</v>
      </c>
      <c r="D25" s="24">
        <v>-0.02</v>
      </c>
      <c r="E25" s="24">
        <v>-0.02</v>
      </c>
      <c r="F25" s="24">
        <v>-0.02</v>
      </c>
      <c r="G25" s="24">
        <v>-0.02</v>
      </c>
      <c r="H25" s="26" t="s">
        <v>188</v>
      </c>
      <c r="I25" s="8"/>
      <c r="J25" s="8"/>
      <c r="K25" s="8"/>
      <c r="L25" s="8"/>
    </row>
    <row r="26" spans="1:12" ht="15" customHeight="1" x14ac:dyDescent="0.25">
      <c r="A26" s="8"/>
      <c r="B26" s="182" t="s">
        <v>189</v>
      </c>
      <c r="C26" s="24">
        <v>3.0000000000000001E-3</v>
      </c>
      <c r="D26" s="24">
        <v>4.0000000000000001E-3</v>
      </c>
      <c r="E26" s="24">
        <v>4.0000000000000001E-3</v>
      </c>
      <c r="F26" s="24">
        <v>4.0000000000000001E-3</v>
      </c>
      <c r="G26" s="24">
        <v>4.0000000000000001E-3</v>
      </c>
      <c r="H26" s="26" t="s">
        <v>190</v>
      </c>
      <c r="I26" s="8"/>
      <c r="J26" s="8"/>
      <c r="K26" s="8"/>
      <c r="L26" s="8"/>
    </row>
    <row r="27" spans="1:12" ht="15" customHeight="1" x14ac:dyDescent="0.25">
      <c r="A27" s="8"/>
      <c r="B27" s="182" t="s">
        <v>191</v>
      </c>
      <c r="C27" s="24">
        <v>4.0000000000000001E-3</v>
      </c>
      <c r="D27" s="24">
        <v>5.0000000000000001E-3</v>
      </c>
      <c r="E27" s="24">
        <v>5.0000000000000001E-3</v>
      </c>
      <c r="F27" s="24">
        <v>5.0000000000000001E-3</v>
      </c>
      <c r="G27" s="24">
        <v>5.0000000000000001E-3</v>
      </c>
      <c r="H27" s="26" t="s">
        <v>192</v>
      </c>
      <c r="I27" s="8"/>
      <c r="J27" s="8"/>
      <c r="K27" s="8"/>
      <c r="L27" s="8"/>
    </row>
    <row r="28" spans="1:12" ht="15" customHeight="1" x14ac:dyDescent="0.25">
      <c r="A28" s="8"/>
      <c r="B28" s="182" t="s">
        <v>193</v>
      </c>
      <c r="C28" s="24">
        <v>-8.4999999999999995E-4</v>
      </c>
      <c r="D28" s="24">
        <v>-8.4999999999999995E-4</v>
      </c>
      <c r="E28" s="24">
        <v>-8.4999999999999995E-4</v>
      </c>
      <c r="F28" s="24">
        <v>-8.4999999999999995E-4</v>
      </c>
      <c r="G28" s="24">
        <v>-8.4999999999999995E-4</v>
      </c>
      <c r="H28" s="26" t="s">
        <v>194</v>
      </c>
      <c r="I28" s="8"/>
      <c r="J28" s="8"/>
      <c r="K28" s="8"/>
      <c r="L28" s="8"/>
    </row>
    <row r="29" spans="1:12" ht="15" customHeight="1" x14ac:dyDescent="0.25">
      <c r="A29" s="8"/>
      <c r="B29" s="182" t="s">
        <v>195</v>
      </c>
      <c r="C29" s="24">
        <v>6.4999999999999997E-3</v>
      </c>
      <c r="D29" s="24">
        <v>6.4999999999999997E-3</v>
      </c>
      <c r="E29" s="24">
        <v>6.4999999999999997E-3</v>
      </c>
      <c r="F29" s="24">
        <v>6.4999999999999997E-3</v>
      </c>
      <c r="G29" s="24">
        <v>6.4999999999999997E-3</v>
      </c>
      <c r="H29" s="26" t="s">
        <v>196</v>
      </c>
      <c r="I29" s="8"/>
      <c r="J29" s="8"/>
      <c r="K29" s="8"/>
      <c r="L29" s="8"/>
    </row>
    <row r="30" spans="1:12" ht="15" customHeight="1" x14ac:dyDescent="0.25">
      <c r="A30" s="8"/>
      <c r="B30" s="182" t="s">
        <v>197</v>
      </c>
      <c r="C30" s="24">
        <v>2.5000000000000001E-2</v>
      </c>
      <c r="D30" s="24">
        <v>2.5000000000000001E-2</v>
      </c>
      <c r="E30" s="24">
        <v>2.5000000000000001E-2</v>
      </c>
      <c r="F30" s="24">
        <v>2.5000000000000001E-2</v>
      </c>
      <c r="G30" s="24">
        <v>2.5000000000000001E-2</v>
      </c>
      <c r="H30" s="26" t="s">
        <v>198</v>
      </c>
      <c r="I30" s="8"/>
      <c r="J30" s="8"/>
      <c r="K30" s="8"/>
      <c r="L30" s="8"/>
    </row>
    <row r="31" spans="1:12" ht="15" customHeight="1" x14ac:dyDescent="0.25">
      <c r="A31" s="8"/>
      <c r="B31" s="183"/>
      <c r="C31" s="183"/>
      <c r="D31" s="183"/>
      <c r="E31" s="183"/>
      <c r="F31" s="183"/>
      <c r="G31" s="183"/>
      <c r="H31" s="25"/>
      <c r="I31" s="8"/>
      <c r="J31" s="8"/>
      <c r="K31" s="8"/>
      <c r="L31" s="8"/>
    </row>
    <row r="32" spans="1:12" ht="15" customHeight="1" collapsed="1" x14ac:dyDescent="0.25">
      <c r="A32" s="5"/>
      <c r="B32" s="16" t="s">
        <v>199</v>
      </c>
      <c r="C32" s="16"/>
      <c r="D32" s="16"/>
      <c r="E32" s="16"/>
      <c r="F32" s="16"/>
      <c r="G32" s="16"/>
      <c r="H32" s="16"/>
      <c r="I32" s="16"/>
      <c r="J32" s="15"/>
      <c r="K32" s="8"/>
      <c r="L32" s="8"/>
    </row>
    <row r="33" spans="1:12" ht="15" customHeight="1" x14ac:dyDescent="0.25">
      <c r="A33" s="8"/>
      <c r="B33" s="9" t="s">
        <v>170</v>
      </c>
      <c r="C33" s="10" t="s">
        <v>200</v>
      </c>
      <c r="D33" s="10"/>
      <c r="E33" s="10"/>
      <c r="F33" s="10"/>
      <c r="G33" s="10"/>
      <c r="H33" s="10" t="s">
        <v>201</v>
      </c>
      <c r="I33" s="8"/>
      <c r="J33" s="8"/>
      <c r="K33" s="8"/>
      <c r="L33" s="8"/>
    </row>
    <row r="34" spans="1:12" ht="15" customHeight="1" x14ac:dyDescent="0.25">
      <c r="A34" s="8"/>
      <c r="B34" s="182" t="s">
        <v>202</v>
      </c>
      <c r="C34" s="12">
        <v>2.5</v>
      </c>
      <c r="D34" s="7"/>
      <c r="E34" s="7"/>
      <c r="F34" s="7"/>
      <c r="G34" s="7"/>
      <c r="H34" s="26" t="s">
        <v>203</v>
      </c>
      <c r="I34" s="8"/>
      <c r="J34" s="8"/>
      <c r="K34" s="8"/>
      <c r="L34" s="8"/>
    </row>
    <row r="35" spans="1:12" ht="15" customHeight="1" x14ac:dyDescent="0.25">
      <c r="A35" s="8"/>
      <c r="B35" s="182" t="s">
        <v>204</v>
      </c>
      <c r="C35" s="24">
        <v>1</v>
      </c>
      <c r="D35" s="7"/>
      <c r="E35" s="7"/>
      <c r="F35" s="7"/>
      <c r="G35" s="7"/>
      <c r="H35" s="26" t="s">
        <v>205</v>
      </c>
      <c r="I35" s="8"/>
      <c r="J35" s="8"/>
      <c r="K35" s="8"/>
      <c r="L35" s="8"/>
    </row>
    <row r="36" spans="1:12" ht="15" customHeight="1" x14ac:dyDescent="0.25">
      <c r="A36" s="8"/>
      <c r="B36" s="182" t="s">
        <v>206</v>
      </c>
      <c r="C36" s="24">
        <f>CHOOSE($C$4,0.7,0.65,0.72,0.5)</f>
        <v>0.7</v>
      </c>
      <c r="D36" s="7"/>
      <c r="E36" s="7"/>
      <c r="F36" s="7"/>
      <c r="G36" s="7"/>
      <c r="H36" s="26" t="s">
        <v>207</v>
      </c>
      <c r="I36" s="8"/>
      <c r="J36" s="8"/>
      <c r="K36" s="8"/>
      <c r="L36" s="8"/>
    </row>
    <row r="37" spans="1:12" ht="15" customHeight="1" x14ac:dyDescent="0.25">
      <c r="A37" s="8"/>
      <c r="B37" s="182" t="str">
        <f>"Model "&amp;Engine!C103&amp;"  |  Last updated: "&amp;TEXT(Engine!C111,"DD-MMM-YYYY")&amp;"  |  Prepared by: "&amp;Engine!F111</f>
        <v>Model v10  |  Last updated: 15-May-2026  |  Prepared by: Hossam Eltarrass</v>
      </c>
      <c r="C37" s="24">
        <f>1-C36</f>
        <v>0.30000000000000004</v>
      </c>
      <c r="D37" s="7"/>
      <c r="E37" s="7"/>
      <c r="F37" s="7"/>
      <c r="G37" s="7"/>
      <c r="H37" s="26" t="s">
        <v>208</v>
      </c>
      <c r="I37" s="8"/>
      <c r="J37" s="8"/>
      <c r="K37" s="8"/>
      <c r="L37" s="8"/>
    </row>
    <row r="38" spans="1:12" ht="15" customHeight="1" x14ac:dyDescent="0.25">
      <c r="A38" s="8"/>
      <c r="B38" s="182" t="s">
        <v>209</v>
      </c>
      <c r="C38" s="24">
        <v>0.72</v>
      </c>
      <c r="D38" s="7"/>
      <c r="E38" s="7"/>
      <c r="F38" s="7"/>
      <c r="G38" s="7"/>
      <c r="H38" s="26" t="s">
        <v>210</v>
      </c>
      <c r="I38" s="8"/>
      <c r="J38" s="8"/>
      <c r="K38" s="8"/>
      <c r="L38" s="8"/>
    </row>
    <row r="39" spans="1:12" ht="15" customHeight="1" x14ac:dyDescent="0.25">
      <c r="A39" s="8"/>
      <c r="B39" s="182" t="s">
        <v>211</v>
      </c>
      <c r="C39" s="24">
        <v>0.28000000000000003</v>
      </c>
      <c r="D39" s="7"/>
      <c r="E39" s="7"/>
      <c r="F39" s="7"/>
      <c r="G39" s="7"/>
      <c r="H39" s="26" t="s">
        <v>212</v>
      </c>
      <c r="I39" s="8"/>
      <c r="J39" s="8"/>
      <c r="K39" s="8"/>
      <c r="L39" s="8"/>
    </row>
    <row r="40" spans="1:12" ht="15" customHeight="1" x14ac:dyDescent="0.25">
      <c r="A40" s="8"/>
      <c r="B40" s="14" t="s">
        <v>213</v>
      </c>
      <c r="C40" s="24">
        <v>8.0000000000000002E-3</v>
      </c>
      <c r="D40" s="7"/>
      <c r="E40" s="7"/>
      <c r="F40" s="7"/>
      <c r="G40" s="7"/>
      <c r="H40" s="26" t="s">
        <v>214</v>
      </c>
      <c r="I40" s="8"/>
      <c r="J40" s="8"/>
      <c r="K40" s="8"/>
      <c r="L40" s="8"/>
    </row>
    <row r="41" spans="1:12" ht="15" customHeight="1" x14ac:dyDescent="0.25">
      <c r="A41" s="8"/>
      <c r="B41" s="182" t="s">
        <v>215</v>
      </c>
      <c r="C41" s="24">
        <v>0.6</v>
      </c>
      <c r="D41" s="7"/>
      <c r="E41" s="7"/>
      <c r="F41" s="7"/>
      <c r="G41" s="7"/>
      <c r="H41" s="26" t="s">
        <v>216</v>
      </c>
      <c r="I41" s="8"/>
      <c r="J41" s="8"/>
      <c r="K41" s="8"/>
      <c r="L41" s="8"/>
    </row>
    <row r="42" spans="1:12" ht="15" customHeight="1" x14ac:dyDescent="0.25">
      <c r="A42" s="8"/>
      <c r="B42" s="183"/>
      <c r="C42" s="183"/>
      <c r="D42" s="183"/>
      <c r="E42" s="183"/>
      <c r="F42" s="183"/>
      <c r="G42" s="183"/>
      <c r="H42" s="25"/>
      <c r="I42" s="8"/>
      <c r="J42" s="8"/>
      <c r="K42" s="8"/>
      <c r="L42" s="8"/>
    </row>
    <row r="43" spans="1:12" ht="15" customHeight="1" collapsed="1" x14ac:dyDescent="0.25">
      <c r="A43" s="5"/>
      <c r="B43" s="16" t="s">
        <v>217</v>
      </c>
      <c r="C43" s="16"/>
      <c r="D43" s="16"/>
      <c r="E43" s="16"/>
      <c r="F43" s="16"/>
      <c r="G43" s="16"/>
      <c r="H43" s="16"/>
      <c r="I43" s="16"/>
      <c r="J43" s="15"/>
      <c r="K43" s="8"/>
      <c r="L43" s="8"/>
    </row>
    <row r="44" spans="1:12" ht="15" customHeight="1" x14ac:dyDescent="0.25">
      <c r="A44" s="8"/>
      <c r="B44" s="9" t="s">
        <v>218</v>
      </c>
      <c r="C44" s="10" t="s">
        <v>219</v>
      </c>
      <c r="D44" s="10" t="s">
        <v>220</v>
      </c>
      <c r="E44" s="10"/>
      <c r="F44" s="10"/>
      <c r="G44" s="10"/>
      <c r="H44" s="10" t="s">
        <v>221</v>
      </c>
      <c r="I44" s="8"/>
      <c r="J44" s="8"/>
      <c r="K44" s="8"/>
      <c r="L44" s="8"/>
    </row>
    <row r="45" spans="1:12" ht="15" customHeight="1" x14ac:dyDescent="0.25">
      <c r="A45" s="8"/>
      <c r="B45" s="182" t="s">
        <v>222</v>
      </c>
      <c r="C45" s="12">
        <v>200</v>
      </c>
      <c r="D45" s="29" t="s">
        <v>223</v>
      </c>
      <c r="E45" s="7"/>
      <c r="F45" s="7"/>
      <c r="G45" s="7"/>
      <c r="H45" s="26" t="s">
        <v>224</v>
      </c>
      <c r="I45" s="8"/>
      <c r="J45" s="8"/>
      <c r="K45" s="8"/>
      <c r="L45" s="8"/>
    </row>
    <row r="46" spans="1:12" ht="15" customHeight="1" x14ac:dyDescent="0.25">
      <c r="A46" s="8"/>
      <c r="B46" s="182" t="s">
        <v>225</v>
      </c>
      <c r="C46" s="12">
        <v>-200</v>
      </c>
      <c r="D46" s="29" t="s">
        <v>223</v>
      </c>
      <c r="E46" s="7"/>
      <c r="F46" s="7"/>
      <c r="G46" s="7"/>
      <c r="H46" s="26" t="s">
        <v>226</v>
      </c>
      <c r="I46" s="8"/>
      <c r="J46" s="8"/>
      <c r="K46" s="8"/>
      <c r="L46" s="8"/>
    </row>
    <row r="47" spans="1:12" ht="15" customHeight="1" x14ac:dyDescent="0.25">
      <c r="A47" s="8"/>
      <c r="B47" s="182" t="s">
        <v>227</v>
      </c>
      <c r="C47" s="12">
        <v>90</v>
      </c>
      <c r="D47" s="29" t="s">
        <v>228</v>
      </c>
      <c r="E47" s="7"/>
      <c r="F47" s="7"/>
      <c r="G47" s="7"/>
      <c r="H47" s="26" t="s">
        <v>229</v>
      </c>
      <c r="I47" s="8"/>
      <c r="J47" s="8"/>
      <c r="K47" s="8"/>
      <c r="L47" s="8"/>
    </row>
    <row r="48" spans="1:12" ht="15" customHeight="1" x14ac:dyDescent="0.25">
      <c r="A48" s="8"/>
      <c r="B48" s="182" t="s">
        <v>230</v>
      </c>
      <c r="C48" s="12">
        <v>-90</v>
      </c>
      <c r="D48" s="29" t="s">
        <v>228</v>
      </c>
      <c r="E48" s="7"/>
      <c r="F48" s="7"/>
      <c r="G48" s="7"/>
      <c r="H48" s="26" t="s">
        <v>231</v>
      </c>
      <c r="I48" s="8"/>
      <c r="J48" s="8"/>
      <c r="K48" s="8"/>
      <c r="L48" s="8"/>
    </row>
    <row r="49" spans="1:12" ht="15" customHeight="1" x14ac:dyDescent="0.25">
      <c r="A49" s="8"/>
      <c r="B49" s="182" t="s">
        <v>232</v>
      </c>
      <c r="C49" s="12">
        <v>250</v>
      </c>
      <c r="D49" s="29" t="s">
        <v>233</v>
      </c>
      <c r="E49" s="7"/>
      <c r="F49" s="7"/>
      <c r="G49" s="7"/>
      <c r="H49" s="26" t="s">
        <v>234</v>
      </c>
      <c r="I49" s="8"/>
      <c r="J49" s="8"/>
      <c r="K49" s="8"/>
      <c r="L49" s="8"/>
    </row>
    <row r="50" spans="1:12" ht="15" customHeight="1" x14ac:dyDescent="0.25">
      <c r="A50" s="8"/>
      <c r="B50" s="182" t="s">
        <v>235</v>
      </c>
      <c r="C50" s="12">
        <v>-250</v>
      </c>
      <c r="D50" s="29" t="s">
        <v>233</v>
      </c>
      <c r="E50" s="7"/>
      <c r="F50" s="7"/>
      <c r="G50" s="7"/>
      <c r="H50" s="26" t="s">
        <v>236</v>
      </c>
      <c r="I50" s="8"/>
      <c r="J50" s="8"/>
      <c r="K50" s="8"/>
      <c r="L50" s="8"/>
    </row>
    <row r="51" spans="1:12" ht="15" customHeight="1" x14ac:dyDescent="0.25">
      <c r="A51" s="8"/>
      <c r="B51" s="182" t="s">
        <v>237</v>
      </c>
      <c r="C51" s="24">
        <v>0.15</v>
      </c>
      <c r="D51" s="29" t="s">
        <v>238</v>
      </c>
      <c r="E51" s="7"/>
      <c r="F51" s="7"/>
      <c r="G51" s="7"/>
      <c r="H51" s="26" t="s">
        <v>239</v>
      </c>
      <c r="I51" s="8"/>
      <c r="J51" s="8"/>
      <c r="K51" s="8"/>
      <c r="L51" s="8"/>
    </row>
    <row r="52" spans="1:12" ht="15" customHeight="1" x14ac:dyDescent="0.25">
      <c r="A52" s="8"/>
      <c r="B52" s="182" t="s">
        <v>240</v>
      </c>
      <c r="C52" s="24">
        <v>0.05</v>
      </c>
      <c r="D52" s="29" t="s">
        <v>238</v>
      </c>
      <c r="E52" s="7"/>
      <c r="F52" s="7"/>
      <c r="G52" s="7"/>
      <c r="H52" s="26" t="s">
        <v>241</v>
      </c>
      <c r="I52" s="8"/>
      <c r="J52" s="8"/>
      <c r="K52" s="8"/>
      <c r="L52" s="8"/>
    </row>
    <row r="53" spans="1:12" ht="15" customHeight="1" x14ac:dyDescent="0.25">
      <c r="A53" s="8"/>
      <c r="B53" s="183"/>
      <c r="C53" s="183"/>
      <c r="D53" s="183"/>
      <c r="E53" s="183"/>
      <c r="F53" s="183"/>
      <c r="G53" s="183"/>
      <c r="H53" s="25"/>
      <c r="I53" s="8"/>
      <c r="J53" s="8"/>
      <c r="K53" s="8"/>
      <c r="L53" s="8"/>
    </row>
    <row r="54" spans="1:12" ht="15" customHeight="1" collapsed="1" x14ac:dyDescent="0.25">
      <c r="A54" s="5"/>
      <c r="B54" s="16" t="s">
        <v>242</v>
      </c>
      <c r="C54" s="16"/>
      <c r="D54" s="16"/>
      <c r="E54" s="16"/>
      <c r="F54" s="16"/>
      <c r="G54" s="16"/>
      <c r="H54" s="16"/>
      <c r="I54" s="16"/>
      <c r="J54" s="15"/>
      <c r="K54" s="8"/>
      <c r="L54" s="8"/>
    </row>
    <row r="55" spans="1:12" ht="15" customHeight="1" x14ac:dyDescent="0.25">
      <c r="A55" s="8"/>
      <c r="B55" s="9" t="s">
        <v>170</v>
      </c>
      <c r="C55" s="10" t="s">
        <v>200</v>
      </c>
      <c r="D55" s="10"/>
      <c r="E55" s="10"/>
      <c r="F55" s="10"/>
      <c r="G55" s="10"/>
      <c r="H55" s="10" t="s">
        <v>243</v>
      </c>
      <c r="I55" s="8"/>
      <c r="J55" s="8"/>
      <c r="K55" s="8"/>
      <c r="L55" s="8"/>
    </row>
    <row r="56" spans="1:12" ht="15" customHeight="1" x14ac:dyDescent="0.25">
      <c r="A56" s="8"/>
      <c r="B56" s="182" t="s">
        <v>244</v>
      </c>
      <c r="C56" s="12">
        <v>0</v>
      </c>
      <c r="D56" s="7"/>
      <c r="E56" s="7"/>
      <c r="F56" s="7"/>
      <c r="G56" s="7"/>
      <c r="H56" s="26" t="s">
        <v>245</v>
      </c>
      <c r="I56" s="8"/>
      <c r="J56" s="8"/>
      <c r="K56" s="8"/>
      <c r="L56" s="8"/>
    </row>
    <row r="57" spans="1:12" ht="15" customHeight="1" x14ac:dyDescent="0.25">
      <c r="A57" s="8"/>
      <c r="B57" s="182" t="s">
        <v>246</v>
      </c>
      <c r="C57" s="12">
        <v>0</v>
      </c>
      <c r="D57" s="7"/>
      <c r="E57" s="7"/>
      <c r="F57" s="7"/>
      <c r="G57" s="7"/>
      <c r="H57" s="26" t="s">
        <v>247</v>
      </c>
      <c r="I57" s="8"/>
      <c r="J57" s="8"/>
      <c r="K57" s="8"/>
      <c r="L57" s="8"/>
    </row>
    <row r="58" spans="1:12" ht="15" customHeight="1" x14ac:dyDescent="0.25">
      <c r="A58" s="8"/>
      <c r="B58" s="182" t="s">
        <v>248</v>
      </c>
      <c r="C58" s="24">
        <v>0.15</v>
      </c>
      <c r="D58" s="7"/>
      <c r="E58" s="7"/>
      <c r="F58" s="7"/>
      <c r="G58" s="7"/>
      <c r="H58" s="26" t="s">
        <v>249</v>
      </c>
      <c r="I58" s="8"/>
      <c r="J58" s="8"/>
      <c r="K58" s="8"/>
      <c r="L58" s="8"/>
    </row>
    <row r="59" spans="1:12" ht="15" customHeight="1" x14ac:dyDescent="0.25">
      <c r="A59" s="8"/>
      <c r="B59" s="182" t="s">
        <v>250</v>
      </c>
      <c r="C59" s="24">
        <v>0.4</v>
      </c>
      <c r="D59" s="7"/>
      <c r="E59" s="7"/>
      <c r="F59" s="7"/>
      <c r="G59" s="7"/>
      <c r="H59" s="26" t="s">
        <v>251</v>
      </c>
      <c r="I59" s="8"/>
      <c r="J59" s="8"/>
      <c r="K59" s="8"/>
      <c r="L59" s="8"/>
    </row>
    <row r="60" spans="1:12" ht="15" customHeight="1" x14ac:dyDescent="0.25">
      <c r="A60" s="8"/>
      <c r="B60" s="182" t="s">
        <v>252</v>
      </c>
      <c r="C60" s="24">
        <v>0.15</v>
      </c>
      <c r="D60" s="7"/>
      <c r="E60" s="7"/>
      <c r="F60" s="7"/>
      <c r="G60" s="7"/>
      <c r="H60" s="26" t="s">
        <v>253</v>
      </c>
      <c r="I60" s="8"/>
      <c r="J60" s="8"/>
      <c r="K60" s="8"/>
      <c r="L60" s="8"/>
    </row>
    <row r="61" spans="1:12" ht="15" customHeight="1" x14ac:dyDescent="0.25">
      <c r="A61" s="8"/>
      <c r="B61" s="182" t="s">
        <v>254</v>
      </c>
      <c r="C61" s="24">
        <v>0.05</v>
      </c>
      <c r="D61" s="7"/>
      <c r="E61" s="7"/>
      <c r="F61" s="7"/>
      <c r="G61" s="7"/>
      <c r="H61" s="26" t="s">
        <v>255</v>
      </c>
      <c r="I61" s="8"/>
      <c r="J61" s="8"/>
      <c r="K61" s="8"/>
      <c r="L61" s="8"/>
    </row>
    <row r="62" spans="1:12" ht="15" customHeight="1" x14ac:dyDescent="0.25">
      <c r="A62" s="8"/>
      <c r="B62" s="182" t="s">
        <v>256</v>
      </c>
      <c r="C62" s="24">
        <v>0.1</v>
      </c>
      <c r="D62" s="7"/>
      <c r="E62" s="7"/>
      <c r="F62" s="7"/>
      <c r="G62" s="7"/>
      <c r="H62" s="26" t="s">
        <v>257</v>
      </c>
      <c r="I62" s="8"/>
      <c r="J62" s="8"/>
      <c r="K62" s="8"/>
      <c r="L62" s="8"/>
    </row>
    <row r="63" spans="1:12" ht="15" customHeight="1" x14ac:dyDescent="0.25">
      <c r="A63" s="8"/>
      <c r="B63" s="182" t="s">
        <v>258</v>
      </c>
      <c r="C63" s="24">
        <v>0.25</v>
      </c>
      <c r="D63" s="7"/>
      <c r="E63" s="7"/>
      <c r="F63" s="7"/>
      <c r="G63" s="7"/>
      <c r="H63" s="26" t="s">
        <v>259</v>
      </c>
      <c r="I63" s="8"/>
      <c r="J63" s="8"/>
      <c r="K63" s="8"/>
      <c r="L63" s="8"/>
    </row>
    <row r="64" spans="1:12" ht="15" customHeight="1" x14ac:dyDescent="0.25">
      <c r="A64" s="8"/>
      <c r="B64" s="182" t="s">
        <v>260</v>
      </c>
      <c r="C64" s="24">
        <v>1</v>
      </c>
      <c r="D64" s="7"/>
      <c r="E64" s="7"/>
      <c r="F64" s="7"/>
      <c r="G64" s="7"/>
      <c r="H64" s="26" t="s">
        <v>261</v>
      </c>
      <c r="I64" s="8"/>
      <c r="J64" s="8"/>
      <c r="K64" s="8"/>
      <c r="L64" s="8"/>
    </row>
    <row r="65" spans="1:12" ht="15" customHeight="1" x14ac:dyDescent="0.25">
      <c r="A65" s="8"/>
      <c r="B65" s="182" t="s">
        <v>262</v>
      </c>
      <c r="C65" s="12">
        <v>0</v>
      </c>
      <c r="D65" s="7"/>
      <c r="E65" s="7"/>
      <c r="F65" s="7"/>
      <c r="G65" s="7"/>
      <c r="H65" s="26" t="s">
        <v>263</v>
      </c>
      <c r="I65" s="8"/>
      <c r="J65" s="8"/>
      <c r="K65" s="8"/>
      <c r="L65" s="8"/>
    </row>
    <row r="66" spans="1:12" ht="15" customHeight="1" x14ac:dyDescent="0.25">
      <c r="A66" s="8"/>
      <c r="B66" s="182" t="s">
        <v>264</v>
      </c>
      <c r="C66" s="24">
        <v>0.15</v>
      </c>
      <c r="D66" s="7"/>
      <c r="E66" s="7"/>
      <c r="F66" s="7"/>
      <c r="G66" s="7"/>
      <c r="H66" s="26" t="s">
        <v>265</v>
      </c>
      <c r="I66" s="8"/>
      <c r="J66" s="8"/>
      <c r="K66" s="8"/>
      <c r="L66" s="8"/>
    </row>
    <row r="67" spans="1:12" ht="15" customHeight="1" x14ac:dyDescent="0.25">
      <c r="A67" s="8"/>
      <c r="B67" s="182" t="s">
        <v>266</v>
      </c>
      <c r="C67" s="24">
        <v>0.1</v>
      </c>
      <c r="D67" s="7"/>
      <c r="E67" s="7"/>
      <c r="F67" s="7"/>
      <c r="G67" s="7"/>
      <c r="H67" s="26" t="s">
        <v>267</v>
      </c>
      <c r="I67" s="8"/>
      <c r="J67" s="8"/>
      <c r="K67" s="8"/>
      <c r="L67" s="8"/>
    </row>
    <row r="68" spans="1:12" ht="15" customHeight="1" x14ac:dyDescent="0.25">
      <c r="A68" s="8"/>
      <c r="B68" s="182" t="s">
        <v>268</v>
      </c>
      <c r="C68" s="24">
        <v>0.25</v>
      </c>
      <c r="D68" s="7"/>
      <c r="E68" s="7"/>
      <c r="F68" s="7"/>
      <c r="G68" s="7"/>
      <c r="H68" s="26" t="s">
        <v>269</v>
      </c>
      <c r="I68" s="8"/>
      <c r="J68" s="8"/>
      <c r="K68" s="8"/>
      <c r="L68" s="8"/>
    </row>
    <row r="69" spans="1:12" ht="15" customHeight="1" x14ac:dyDescent="0.25">
      <c r="A69" s="8"/>
      <c r="B69" s="182" t="s">
        <v>270</v>
      </c>
      <c r="C69" s="24">
        <v>0.5</v>
      </c>
      <c r="D69" s="7"/>
      <c r="E69" s="7"/>
      <c r="F69" s="7"/>
      <c r="G69" s="7"/>
      <c r="H69" s="26" t="s">
        <v>271</v>
      </c>
      <c r="I69" s="8"/>
      <c r="J69" s="8"/>
      <c r="K69" s="8"/>
      <c r="L69" s="8"/>
    </row>
    <row r="70" spans="1:12" ht="15" customHeight="1" x14ac:dyDescent="0.25">
      <c r="A70" s="8"/>
      <c r="B70" s="182" t="s">
        <v>272</v>
      </c>
      <c r="C70" s="24">
        <v>1</v>
      </c>
      <c r="D70" s="7"/>
      <c r="E70" s="7"/>
      <c r="F70" s="7"/>
      <c r="G70" s="7"/>
      <c r="H70" s="26" t="s">
        <v>273</v>
      </c>
      <c r="I70" s="8"/>
      <c r="J70" s="8"/>
      <c r="K70" s="8"/>
      <c r="L70" s="8"/>
    </row>
    <row r="71" spans="1:12" ht="15" customHeight="1" x14ac:dyDescent="0.25">
      <c r="A71" s="8"/>
      <c r="B71" s="182" t="s">
        <v>274</v>
      </c>
      <c r="C71" s="24">
        <v>0.75</v>
      </c>
      <c r="D71" s="7"/>
      <c r="E71" s="7"/>
      <c r="F71" s="7"/>
      <c r="G71" s="7"/>
      <c r="H71" s="26" t="s">
        <v>275</v>
      </c>
      <c r="I71" s="8"/>
      <c r="J71" s="8"/>
      <c r="K71" s="8"/>
      <c r="L71" s="8"/>
    </row>
    <row r="72" spans="1:12" ht="15" customHeight="1" x14ac:dyDescent="0.25">
      <c r="A72" s="8"/>
      <c r="B72" s="183"/>
      <c r="C72" s="183"/>
      <c r="D72" s="183"/>
      <c r="E72" s="183"/>
      <c r="F72" s="183"/>
      <c r="G72" s="183"/>
      <c r="H72" s="25"/>
      <c r="I72" s="8"/>
      <c r="J72" s="8"/>
      <c r="K72" s="8"/>
      <c r="L72" s="8"/>
    </row>
    <row r="73" spans="1:12" ht="15" customHeight="1" collapsed="1" x14ac:dyDescent="0.25">
      <c r="A73" s="5"/>
      <c r="B73" s="16" t="s">
        <v>276</v>
      </c>
      <c r="C73" s="16"/>
      <c r="D73" s="16"/>
      <c r="E73" s="16"/>
      <c r="F73" s="16"/>
      <c r="G73" s="16"/>
      <c r="H73" s="16"/>
      <c r="I73" s="16"/>
      <c r="J73" s="15"/>
      <c r="K73" s="8"/>
      <c r="L73" s="8"/>
    </row>
    <row r="74" spans="1:12" ht="15" customHeight="1" x14ac:dyDescent="0.25">
      <c r="A74" s="8"/>
      <c r="B74" s="9" t="s">
        <v>170</v>
      </c>
      <c r="C74" s="10" t="s">
        <v>277</v>
      </c>
      <c r="D74" s="10"/>
      <c r="E74" s="10"/>
      <c r="F74" s="10"/>
      <c r="G74" s="10"/>
      <c r="H74" s="10" t="s">
        <v>278</v>
      </c>
      <c r="I74" s="8"/>
      <c r="J74" s="8"/>
      <c r="K74" s="8"/>
      <c r="L74" s="8"/>
    </row>
    <row r="75" spans="1:12" ht="15" customHeight="1" x14ac:dyDescent="0.25">
      <c r="A75" s="8"/>
      <c r="B75" s="11" t="s">
        <v>279</v>
      </c>
      <c r="C75" s="24">
        <v>1</v>
      </c>
      <c r="D75" s="7"/>
      <c r="E75" s="7"/>
      <c r="F75" s="7"/>
      <c r="G75" s="7"/>
      <c r="H75" s="26" t="s">
        <v>280</v>
      </c>
      <c r="I75" s="8"/>
      <c r="J75" s="8"/>
      <c r="K75" s="8"/>
      <c r="L75" s="8"/>
    </row>
    <row r="76" spans="1:12" ht="15" customHeight="1" x14ac:dyDescent="0.25">
      <c r="A76" s="8"/>
      <c r="B76" s="11" t="s">
        <v>281</v>
      </c>
      <c r="C76" s="24">
        <v>0.9</v>
      </c>
      <c r="D76" s="7"/>
      <c r="E76" s="7"/>
      <c r="F76" s="7"/>
      <c r="G76" s="7"/>
      <c r="H76" s="26" t="s">
        <v>282</v>
      </c>
      <c r="I76" s="8"/>
      <c r="J76" s="8"/>
      <c r="K76" s="8"/>
      <c r="L76" s="8"/>
    </row>
    <row r="77" spans="1:12" ht="15" customHeight="1" x14ac:dyDescent="0.25">
      <c r="A77" s="8"/>
      <c r="B77" s="11" t="s">
        <v>283</v>
      </c>
      <c r="C77" s="24">
        <v>0.8</v>
      </c>
      <c r="D77" s="7"/>
      <c r="E77" s="7"/>
      <c r="F77" s="7"/>
      <c r="G77" s="7"/>
      <c r="H77" s="26" t="s">
        <v>284</v>
      </c>
      <c r="I77" s="8"/>
      <c r="J77" s="8"/>
      <c r="K77" s="8"/>
      <c r="L77" s="8"/>
    </row>
    <row r="78" spans="1:12" ht="15" customHeight="1" x14ac:dyDescent="0.25">
      <c r="A78" s="8"/>
      <c r="B78" s="11" t="s">
        <v>285</v>
      </c>
      <c r="C78" s="24">
        <v>1</v>
      </c>
      <c r="D78" s="7"/>
      <c r="E78" s="7"/>
      <c r="F78" s="7"/>
      <c r="G78" s="7"/>
      <c r="H78" s="26" t="s">
        <v>286</v>
      </c>
      <c r="I78" s="8"/>
      <c r="J78" s="8"/>
      <c r="K78" s="8"/>
      <c r="L78" s="8"/>
    </row>
    <row r="79" spans="1:12" ht="15" customHeight="1" x14ac:dyDescent="0.25">
      <c r="A79" s="8"/>
      <c r="B79" s="11" t="s">
        <v>287</v>
      </c>
      <c r="C79" s="24">
        <v>0.5</v>
      </c>
      <c r="D79" s="7"/>
      <c r="E79" s="7"/>
      <c r="F79" s="7"/>
      <c r="G79" s="7"/>
      <c r="H79" s="26" t="s">
        <v>288</v>
      </c>
      <c r="I79" s="8"/>
      <c r="J79" s="8"/>
      <c r="K79" s="8"/>
      <c r="L79" s="8"/>
    </row>
    <row r="80" spans="1:12" ht="15" customHeight="1" x14ac:dyDescent="0.25">
      <c r="A80" s="8"/>
      <c r="B80" s="11" t="s">
        <v>289</v>
      </c>
      <c r="C80" s="12">
        <v>0</v>
      </c>
      <c r="D80" s="7"/>
      <c r="E80" s="7"/>
      <c r="F80" s="7"/>
      <c r="G80" s="7"/>
      <c r="H80" s="26" t="s">
        <v>290</v>
      </c>
      <c r="I80" s="8"/>
      <c r="J80" s="8"/>
      <c r="K80" s="8"/>
      <c r="L80" s="8"/>
    </row>
    <row r="81" spans="1:12" ht="15" customHeight="1" x14ac:dyDescent="0.25">
      <c r="A81" s="8"/>
      <c r="B81" s="11" t="s">
        <v>291</v>
      </c>
      <c r="C81" s="24">
        <v>0.1</v>
      </c>
      <c r="D81" s="7"/>
      <c r="E81" s="7"/>
      <c r="F81" s="7"/>
      <c r="G81" s="7"/>
      <c r="H81" s="26" t="s">
        <v>292</v>
      </c>
      <c r="I81" s="8"/>
      <c r="J81" s="8"/>
      <c r="K81" s="8"/>
      <c r="L81" s="8"/>
    </row>
    <row r="82" spans="1:12" ht="15" customHeight="1" x14ac:dyDescent="0.25">
      <c r="A82" s="8"/>
      <c r="B82" s="11" t="s">
        <v>293</v>
      </c>
      <c r="C82" s="24">
        <v>0.5</v>
      </c>
      <c r="D82" s="7"/>
      <c r="E82" s="7"/>
      <c r="F82" s="7"/>
      <c r="G82" s="7"/>
      <c r="H82" s="26" t="s">
        <v>294</v>
      </c>
      <c r="I82" s="8"/>
      <c r="J82" s="8"/>
      <c r="K82" s="8"/>
      <c r="L82" s="8"/>
    </row>
    <row r="83" spans="1:12" ht="15" customHeight="1" x14ac:dyDescent="0.25">
      <c r="A83" s="8"/>
      <c r="B83" s="11" t="s">
        <v>295</v>
      </c>
      <c r="C83" s="12">
        <v>0</v>
      </c>
      <c r="D83" s="7"/>
      <c r="E83" s="7"/>
      <c r="F83" s="7"/>
      <c r="G83" s="7"/>
      <c r="H83" s="26" t="s">
        <v>290</v>
      </c>
      <c r="I83" s="8"/>
      <c r="J83" s="8"/>
      <c r="K83" s="8"/>
      <c r="L83" s="8"/>
    </row>
    <row r="84" spans="1:12" ht="15" customHeight="1" x14ac:dyDescent="0.25">
      <c r="A84" s="8"/>
      <c r="B84" s="11" t="s">
        <v>296</v>
      </c>
      <c r="C84" s="24">
        <v>0.85</v>
      </c>
      <c r="D84" s="7"/>
      <c r="E84" s="7"/>
      <c r="F84" s="7"/>
      <c r="G84" s="7"/>
      <c r="H84" s="26" t="s">
        <v>297</v>
      </c>
      <c r="I84" s="8"/>
      <c r="J84" s="8"/>
      <c r="K84" s="8"/>
      <c r="L84" s="8"/>
    </row>
    <row r="85" spans="1:12" ht="15" customHeight="1" x14ac:dyDescent="0.25">
      <c r="A85" s="8"/>
      <c r="B85" s="11" t="s">
        <v>298</v>
      </c>
      <c r="C85" s="24">
        <v>0.5</v>
      </c>
      <c r="D85" s="7"/>
      <c r="E85" s="7"/>
      <c r="F85" s="7"/>
      <c r="G85" s="7"/>
      <c r="H85" s="26" t="s">
        <v>299</v>
      </c>
      <c r="I85" s="8"/>
      <c r="J85" s="8"/>
      <c r="K85" s="8"/>
      <c r="L85" s="8"/>
    </row>
    <row r="86" spans="1:12" ht="15" customHeight="1" x14ac:dyDescent="0.25">
      <c r="A86" s="8"/>
      <c r="B86" s="11" t="s">
        <v>300</v>
      </c>
      <c r="C86" s="24">
        <v>0.05</v>
      </c>
      <c r="D86" s="7"/>
      <c r="E86" s="7"/>
      <c r="F86" s="7"/>
      <c r="G86" s="7"/>
      <c r="H86" s="26" t="s">
        <v>301</v>
      </c>
      <c r="I86" s="8"/>
      <c r="J86" s="8"/>
      <c r="K86" s="8"/>
      <c r="L86" s="8"/>
    </row>
    <row r="87" spans="1:12" ht="15" customHeight="1" x14ac:dyDescent="0.25">
      <c r="A87" s="8"/>
      <c r="B87" s="11" t="s">
        <v>302</v>
      </c>
      <c r="C87" s="24">
        <v>0.15</v>
      </c>
      <c r="D87" s="7"/>
      <c r="E87" s="7"/>
      <c r="F87" s="7"/>
      <c r="G87" s="7"/>
      <c r="H87" s="26" t="s">
        <v>303</v>
      </c>
      <c r="I87" s="8"/>
      <c r="J87" s="8"/>
      <c r="K87" s="8"/>
      <c r="L87" s="8"/>
    </row>
    <row r="88" spans="1:12" ht="15" customHeight="1" x14ac:dyDescent="0.25">
      <c r="A88" s="8"/>
      <c r="B88" s="182" t="s">
        <v>304</v>
      </c>
      <c r="C88" s="24">
        <v>1</v>
      </c>
      <c r="D88" s="7"/>
      <c r="E88" s="7"/>
      <c r="F88" s="7"/>
      <c r="G88" s="7"/>
      <c r="H88" s="26" t="s">
        <v>305</v>
      </c>
      <c r="I88" s="8"/>
      <c r="J88" s="8"/>
      <c r="K88" s="8"/>
      <c r="L88" s="8"/>
    </row>
    <row r="89" spans="1:12" ht="15" customHeight="1" x14ac:dyDescent="0.25">
      <c r="A89" s="8"/>
      <c r="B89" s="11" t="s">
        <v>306</v>
      </c>
      <c r="C89" s="12">
        <v>0</v>
      </c>
      <c r="D89" s="7"/>
      <c r="E89" s="7"/>
      <c r="F89" s="7"/>
      <c r="G89" s="7"/>
      <c r="H89" s="26" t="s">
        <v>307</v>
      </c>
      <c r="I89" s="8"/>
      <c r="J89" s="8"/>
      <c r="K89" s="8"/>
      <c r="L89" s="8"/>
    </row>
    <row r="90" spans="1:12" ht="15" customHeight="1" x14ac:dyDescent="0.25">
      <c r="A90" s="8"/>
      <c r="B90" s="11" t="s">
        <v>308</v>
      </c>
      <c r="C90" s="24">
        <v>0.1</v>
      </c>
      <c r="D90" s="7"/>
      <c r="E90" s="7"/>
      <c r="F90" s="7"/>
      <c r="G90" s="7"/>
      <c r="H90" s="26" t="s">
        <v>309</v>
      </c>
      <c r="I90" s="8"/>
      <c r="J90" s="8"/>
      <c r="K90" s="8"/>
      <c r="L90" s="8"/>
    </row>
    <row r="91" spans="1:12" ht="15" customHeight="1" x14ac:dyDescent="0.25">
      <c r="A91" s="8"/>
      <c r="B91" s="182" t="s">
        <v>310</v>
      </c>
      <c r="C91" s="24">
        <v>1</v>
      </c>
      <c r="D91" s="7"/>
      <c r="E91" s="7"/>
      <c r="F91" s="7"/>
      <c r="G91" s="7"/>
      <c r="H91" s="26" t="s">
        <v>311</v>
      </c>
      <c r="I91" s="8"/>
      <c r="J91" s="8"/>
      <c r="K91" s="8"/>
      <c r="L91" s="8"/>
    </row>
    <row r="92" spans="1:12" ht="15" customHeight="1" x14ac:dyDescent="0.25">
      <c r="A92" s="8"/>
      <c r="B92" s="183"/>
      <c r="C92" s="183"/>
      <c r="D92" s="183"/>
      <c r="E92" s="183"/>
      <c r="F92" s="183"/>
      <c r="G92" s="183"/>
      <c r="H92" s="25"/>
      <c r="I92" s="8"/>
      <c r="J92" s="8"/>
      <c r="K92" s="8"/>
      <c r="L92" s="8"/>
    </row>
    <row r="93" spans="1:12" ht="15" customHeight="1" collapsed="1" x14ac:dyDescent="0.25">
      <c r="A93" s="5"/>
      <c r="B93" s="16" t="s">
        <v>312</v>
      </c>
      <c r="C93" s="16"/>
      <c r="D93" s="16"/>
      <c r="E93" s="16"/>
      <c r="F93" s="16"/>
      <c r="G93" s="16"/>
      <c r="H93" s="16"/>
      <c r="I93" s="16"/>
      <c r="J93" s="15"/>
      <c r="K93" s="8"/>
      <c r="L93" s="8"/>
    </row>
    <row r="94" spans="1:12" ht="15" customHeight="1" x14ac:dyDescent="0.25">
      <c r="A94" s="8"/>
      <c r="B94" s="9" t="s">
        <v>83</v>
      </c>
      <c r="C94" s="10" t="s">
        <v>200</v>
      </c>
      <c r="D94" s="10"/>
      <c r="E94" s="10"/>
      <c r="F94" s="10"/>
      <c r="G94" s="10"/>
      <c r="H94" s="10" t="s">
        <v>313</v>
      </c>
      <c r="I94" s="8"/>
      <c r="J94" s="8"/>
      <c r="K94" s="8"/>
      <c r="L94" s="8"/>
    </row>
    <row r="95" spans="1:12" ht="15" customHeight="1" x14ac:dyDescent="0.25">
      <c r="A95" s="8"/>
      <c r="B95" s="182" t="s">
        <v>314</v>
      </c>
      <c r="C95" s="24">
        <v>0.13500000000000001</v>
      </c>
      <c r="D95" s="7"/>
      <c r="E95" s="7"/>
      <c r="F95" s="7"/>
      <c r="G95" s="7"/>
      <c r="H95" s="26" t="s">
        <v>315</v>
      </c>
      <c r="I95" s="8"/>
      <c r="J95" s="8"/>
      <c r="K95" s="8"/>
      <c r="L95" s="8"/>
    </row>
    <row r="96" spans="1:12" ht="15" customHeight="1" x14ac:dyDescent="0.25">
      <c r="A96" s="8"/>
      <c r="B96" s="182" t="s">
        <v>316</v>
      </c>
      <c r="C96" s="24">
        <v>1.4999999999999999E-2</v>
      </c>
      <c r="D96" s="7"/>
      <c r="E96" s="7"/>
      <c r="F96" s="7"/>
      <c r="G96" s="7"/>
      <c r="H96" s="26" t="s">
        <v>317</v>
      </c>
      <c r="I96" s="8"/>
      <c r="J96" s="8"/>
      <c r="K96" s="8"/>
      <c r="L96" s="8"/>
    </row>
    <row r="97" spans="1:12" ht="15" customHeight="1" x14ac:dyDescent="0.25">
      <c r="A97" s="8"/>
      <c r="B97" s="14" t="s">
        <v>318</v>
      </c>
      <c r="C97" s="24">
        <v>0.155</v>
      </c>
      <c r="D97" s="7"/>
      <c r="E97" s="7"/>
      <c r="F97" s="7"/>
      <c r="G97" s="7"/>
      <c r="H97" s="26" t="s">
        <v>319</v>
      </c>
      <c r="I97" s="8"/>
      <c r="J97" s="8"/>
      <c r="K97" s="8"/>
      <c r="L97" s="8"/>
    </row>
    <row r="98" spans="1:12" ht="15" customHeight="1" x14ac:dyDescent="0.25">
      <c r="A98" s="8"/>
      <c r="B98" s="182" t="s">
        <v>320</v>
      </c>
      <c r="C98" s="24">
        <v>0.03</v>
      </c>
      <c r="D98" s="7"/>
      <c r="E98" s="7"/>
      <c r="F98" s="7"/>
      <c r="G98" s="7"/>
      <c r="H98" s="26" t="s">
        <v>321</v>
      </c>
      <c r="I98" s="8"/>
      <c r="J98" s="8"/>
      <c r="K98" s="8"/>
      <c r="L98" s="8"/>
    </row>
    <row r="99" spans="1:12" ht="15" customHeight="1" x14ac:dyDescent="0.25">
      <c r="A99" s="8"/>
      <c r="B99" s="182" t="s">
        <v>322</v>
      </c>
      <c r="C99" s="24">
        <v>1</v>
      </c>
      <c r="D99" s="7"/>
      <c r="E99" s="7"/>
      <c r="F99" s="7"/>
      <c r="G99" s="7"/>
      <c r="H99" s="26" t="s">
        <v>323</v>
      </c>
      <c r="I99" s="8"/>
      <c r="J99" s="8"/>
      <c r="K99" s="8"/>
      <c r="L99" s="8"/>
    </row>
    <row r="100" spans="1:12" ht="15" customHeight="1" x14ac:dyDescent="0.25">
      <c r="A100" s="8"/>
      <c r="B100" s="182" t="s">
        <v>324</v>
      </c>
      <c r="C100" s="24">
        <v>1</v>
      </c>
      <c r="D100" s="7"/>
      <c r="E100" s="7"/>
      <c r="F100" s="7"/>
      <c r="G100" s="7"/>
      <c r="H100" s="26" t="s">
        <v>325</v>
      </c>
      <c r="I100" s="8"/>
      <c r="J100" s="8"/>
      <c r="K100" s="8"/>
      <c r="L100" s="8"/>
    </row>
    <row r="101" spans="1:12" ht="15" customHeight="1" x14ac:dyDescent="0.25">
      <c r="A101" s="8"/>
      <c r="B101" s="182" t="s">
        <v>326</v>
      </c>
      <c r="C101" s="24">
        <v>0.15</v>
      </c>
      <c r="D101" s="7"/>
      <c r="E101" s="7"/>
      <c r="F101" s="7"/>
      <c r="G101" s="7"/>
      <c r="H101" s="26" t="s">
        <v>327</v>
      </c>
      <c r="I101" s="8"/>
      <c r="J101" s="8"/>
      <c r="K101" s="8"/>
      <c r="L101" s="8"/>
    </row>
    <row r="102" spans="1:12" ht="15" customHeight="1" x14ac:dyDescent="0.25">
      <c r="A102" s="8"/>
      <c r="B102" s="182" t="s">
        <v>328</v>
      </c>
      <c r="C102" s="24">
        <v>0.05</v>
      </c>
      <c r="D102" s="7"/>
      <c r="E102" s="7"/>
      <c r="F102" s="7"/>
      <c r="G102" s="7"/>
      <c r="H102" s="26" t="s">
        <v>329</v>
      </c>
      <c r="I102" s="8"/>
      <c r="J102" s="8"/>
      <c r="K102" s="8"/>
      <c r="L102" s="8"/>
    </row>
    <row r="103" spans="1:12" ht="15" customHeight="1" x14ac:dyDescent="0.25">
      <c r="A103" s="8"/>
      <c r="B103" s="182" t="s">
        <v>11</v>
      </c>
      <c r="C103" s="29" t="s">
        <v>809</v>
      </c>
      <c r="D103" s="183"/>
      <c r="E103" s="183"/>
      <c r="F103" s="183"/>
      <c r="G103" s="183"/>
      <c r="H103" s="25"/>
      <c r="I103" s="8"/>
      <c r="J103" s="8"/>
      <c r="K103" s="8"/>
      <c r="L103" s="8"/>
    </row>
    <row r="104" spans="1:12" ht="15" customHeight="1" collapsed="1" x14ac:dyDescent="0.25">
      <c r="A104" s="5"/>
      <c r="B104" s="16" t="s">
        <v>330</v>
      </c>
      <c r="C104" s="16"/>
      <c r="D104" s="16"/>
      <c r="E104" s="16"/>
      <c r="F104" s="16"/>
      <c r="G104" s="16"/>
      <c r="H104" s="16"/>
      <c r="I104" s="16"/>
      <c r="J104" s="15"/>
      <c r="K104" s="8"/>
      <c r="L104" s="8"/>
    </row>
    <row r="105" spans="1:12" ht="15" customHeight="1" x14ac:dyDescent="0.25">
      <c r="A105" s="8"/>
      <c r="B105" s="182" t="s">
        <v>331</v>
      </c>
      <c r="C105" s="297" t="s">
        <v>50</v>
      </c>
      <c r="D105" s="297"/>
      <c r="E105" s="297"/>
      <c r="F105" s="297"/>
      <c r="G105" s="297"/>
      <c r="H105" s="25"/>
      <c r="I105" s="8"/>
      <c r="J105" s="8"/>
      <c r="K105" s="8"/>
      <c r="L105" s="8"/>
    </row>
    <row r="106" spans="1:12" ht="15" customHeight="1" x14ac:dyDescent="0.25">
      <c r="A106" s="8"/>
      <c r="B106" s="182" t="s">
        <v>332</v>
      </c>
      <c r="C106" s="297" t="s">
        <v>333</v>
      </c>
      <c r="D106" s="297"/>
      <c r="E106" s="297"/>
      <c r="F106" s="297"/>
      <c r="G106" s="297"/>
      <c r="H106" s="25"/>
      <c r="I106" s="8"/>
      <c r="J106" s="8"/>
      <c r="K106" s="8"/>
      <c r="L106" s="8"/>
    </row>
    <row r="107" spans="1:12" ht="15" customHeight="1" x14ac:dyDescent="0.25">
      <c r="A107" s="8"/>
      <c r="B107" s="182" t="s">
        <v>334</v>
      </c>
      <c r="C107" s="297" t="s">
        <v>335</v>
      </c>
      <c r="D107" s="297"/>
      <c r="E107" s="297"/>
      <c r="F107" s="297"/>
      <c r="G107" s="297"/>
      <c r="H107" s="25"/>
      <c r="I107" s="8"/>
      <c r="J107" s="8"/>
      <c r="K107" s="8"/>
      <c r="L107" s="8"/>
    </row>
    <row r="108" spans="1:12" ht="15" customHeight="1" x14ac:dyDescent="0.25">
      <c r="A108" s="8"/>
      <c r="B108" s="182" t="s">
        <v>4</v>
      </c>
      <c r="C108" s="297" t="s">
        <v>336</v>
      </c>
      <c r="D108" s="297"/>
      <c r="E108" s="297"/>
      <c r="F108" s="297"/>
      <c r="G108" s="297"/>
      <c r="H108" s="25"/>
      <c r="I108" s="8"/>
      <c r="J108" s="8"/>
      <c r="K108" s="8"/>
      <c r="L108" s="8"/>
    </row>
    <row r="109" spans="1:12" ht="15" customHeight="1" x14ac:dyDescent="0.25">
      <c r="A109" s="8"/>
      <c r="B109" s="182" t="s">
        <v>8</v>
      </c>
      <c r="C109" s="297" t="s">
        <v>337</v>
      </c>
      <c r="D109" s="297"/>
      <c r="E109" s="297"/>
      <c r="F109" s="297"/>
      <c r="G109" s="297"/>
      <c r="H109" s="25"/>
      <c r="I109" s="8"/>
      <c r="J109" s="8"/>
      <c r="K109" s="8"/>
      <c r="L109" s="8"/>
    </row>
    <row r="110" spans="1:12" ht="15" customHeight="1" x14ac:dyDescent="0.25">
      <c r="A110" s="8"/>
      <c r="B110" s="182" t="s">
        <v>7</v>
      </c>
      <c r="C110" s="297" t="s">
        <v>338</v>
      </c>
      <c r="D110" s="297"/>
      <c r="E110" s="297"/>
      <c r="F110" s="297"/>
      <c r="G110" s="297"/>
      <c r="H110" s="25"/>
      <c r="I110" s="8"/>
      <c r="J110" s="8"/>
      <c r="K110" s="8"/>
      <c r="L110" s="8"/>
    </row>
    <row r="111" spans="1:12" ht="15" customHeight="1" x14ac:dyDescent="0.25">
      <c r="A111" s="8"/>
      <c r="B111" s="11" t="s">
        <v>36</v>
      </c>
      <c r="C111" s="30">
        <v>46157</v>
      </c>
      <c r="D111" s="7"/>
      <c r="E111" s="29" t="s">
        <v>339</v>
      </c>
      <c r="F111" s="31" t="s">
        <v>340</v>
      </c>
      <c r="G111" s="7"/>
      <c r="H111" s="7"/>
      <c r="I111" s="8"/>
      <c r="J111" s="8"/>
      <c r="K111" s="8"/>
      <c r="L111" s="8"/>
    </row>
    <row r="112" spans="1:12" ht="15" customHeight="1" x14ac:dyDescent="0.25">
      <c r="A112" s="5"/>
      <c r="B112" s="16" t="s">
        <v>341</v>
      </c>
      <c r="C112" s="16"/>
      <c r="D112" s="16"/>
      <c r="E112" s="16"/>
      <c r="F112" s="16"/>
      <c r="G112" s="16"/>
      <c r="H112" s="16"/>
      <c r="I112" s="16"/>
      <c r="J112" s="15"/>
      <c r="K112" s="8"/>
      <c r="L112" s="8"/>
    </row>
    <row r="113" spans="1:12" ht="15" customHeight="1" x14ac:dyDescent="0.25">
      <c r="A113" s="8"/>
      <c r="B113" s="295"/>
      <c r="C113" s="295"/>
      <c r="D113" s="295"/>
      <c r="E113" s="295"/>
      <c r="F113" s="295"/>
      <c r="G113" s="295"/>
      <c r="H113" s="295"/>
      <c r="I113" s="8"/>
      <c r="J113" s="8"/>
      <c r="K113" s="8"/>
      <c r="L113" s="8"/>
    </row>
    <row r="114" spans="1:12" ht="15" customHeight="1" x14ac:dyDescent="0.25">
      <c r="A114" s="8"/>
      <c r="B114" s="9" t="s">
        <v>342</v>
      </c>
      <c r="C114" s="10" t="s">
        <v>107</v>
      </c>
      <c r="D114" s="10" t="s">
        <v>50</v>
      </c>
      <c r="E114" s="10" t="s">
        <v>51</v>
      </c>
      <c r="F114" s="10" t="s">
        <v>52</v>
      </c>
      <c r="G114" s="10" t="s">
        <v>53</v>
      </c>
      <c r="H114" s="10"/>
      <c r="I114" s="8"/>
      <c r="J114" s="8"/>
      <c r="K114" s="8"/>
      <c r="L114" s="8"/>
    </row>
    <row r="115" spans="1:12" ht="15" customHeight="1" x14ac:dyDescent="0.25">
      <c r="A115" s="8"/>
      <c r="B115" s="298" t="s">
        <v>343</v>
      </c>
      <c r="C115" s="298"/>
      <c r="D115" s="298"/>
      <c r="E115" s="298"/>
      <c r="F115" s="298"/>
      <c r="G115" s="298"/>
      <c r="H115" s="298"/>
      <c r="I115" s="8"/>
      <c r="J115" s="8"/>
      <c r="K115" s="8"/>
      <c r="L115" s="8"/>
    </row>
    <row r="116" spans="1:12" ht="15" customHeight="1" x14ac:dyDescent="0.25">
      <c r="A116" s="8"/>
      <c r="B116" s="182" t="s">
        <v>344</v>
      </c>
      <c r="C116" s="19">
        <f>C15+C23</f>
        <v>5.1000000000000004E-2</v>
      </c>
      <c r="D116" s="19">
        <f>D15+D23</f>
        <v>3.7999999999999999E-2</v>
      </c>
      <c r="E116" s="19">
        <f>D116+$C$24*((E15+$C$5)-D15)</f>
        <v>3.5749999999999997E-2</v>
      </c>
      <c r="F116" s="19">
        <f>E116+$C$24*(F15-E15)</f>
        <v>3.3499999999999995E-2</v>
      </c>
      <c r="G116" s="19">
        <f>F116+$C$24*(G15-F15)</f>
        <v>3.3499999999999995E-2</v>
      </c>
      <c r="H116" s="28"/>
      <c r="I116" s="8"/>
      <c r="J116" s="8"/>
      <c r="K116" s="8"/>
      <c r="L116" s="8"/>
    </row>
    <row r="117" spans="1:12" ht="15" customHeight="1" x14ac:dyDescent="0.25">
      <c r="A117" s="8"/>
      <c r="B117" s="182" t="s">
        <v>345</v>
      </c>
      <c r="C117" s="19">
        <f>MAX(0,C14+C25)</f>
        <v>0.02</v>
      </c>
      <c r="D117" s="19">
        <f>MAX(0,D14+D25)</f>
        <v>5.000000000000001E-3</v>
      </c>
      <c r="E117" s="19">
        <f>MAX(0,D117+$F$5*((E14+$C$5)-D14))</f>
        <v>4.0000000000000001E-3</v>
      </c>
      <c r="F117" s="19">
        <f>MAX(0,E117+$F$5*(F14-E14))</f>
        <v>3.0000000000000005E-3</v>
      </c>
      <c r="G117" s="19">
        <f>MAX(0,F117+$F$5*(G14-F14))</f>
        <v>3.0000000000000005E-3</v>
      </c>
      <c r="H117" s="28"/>
      <c r="I117" s="8"/>
      <c r="J117" s="8"/>
      <c r="K117" s="8"/>
      <c r="L117" s="8"/>
    </row>
    <row r="118" spans="1:12" ht="15" customHeight="1" x14ac:dyDescent="0.25">
      <c r="A118" s="8"/>
      <c r="B118" s="182" t="s">
        <v>346</v>
      </c>
      <c r="C118" s="19">
        <f>C14+C28</f>
        <v>3.9150000000000004E-2</v>
      </c>
      <c r="D118" s="19">
        <f>D14+D28</f>
        <v>2.4150000000000001E-2</v>
      </c>
      <c r="E118" s="19">
        <f>MAX(0,(E14+$C$5)+E28)</f>
        <v>2.1649999999999999E-2</v>
      </c>
      <c r="F118" s="19">
        <f>MAX(0,(F14+$C$5)+F28)</f>
        <v>1.915E-2</v>
      </c>
      <c r="G118" s="19">
        <f>MAX(0,(G14+$C$5)+G28)</f>
        <v>1.915E-2</v>
      </c>
      <c r="H118" s="28"/>
      <c r="I118" s="8"/>
      <c r="J118" s="8"/>
      <c r="K118" s="8"/>
      <c r="L118" s="8"/>
    </row>
    <row r="119" spans="1:12" ht="15" customHeight="1" x14ac:dyDescent="0.25">
      <c r="A119" s="8"/>
      <c r="B119" s="182" t="s">
        <v>347</v>
      </c>
      <c r="C119" s="19">
        <f>C17+C26</f>
        <v>0.03</v>
      </c>
      <c r="D119" s="19">
        <f>D17+D26</f>
        <v>0.03</v>
      </c>
      <c r="E119" s="19">
        <f>MAX(0,(E17+$C$5)+E26)</f>
        <v>2.9499999999999998E-2</v>
      </c>
      <c r="F119" s="19">
        <f>MAX(0,(F17+$C$5)+F26)</f>
        <v>2.9000000000000001E-2</v>
      </c>
      <c r="G119" s="19">
        <f>MAX(0,(G17+$C$5)+G26)</f>
        <v>2.8500000000000001E-2</v>
      </c>
      <c r="H119" s="28"/>
      <c r="I119" s="8"/>
      <c r="J119" s="8"/>
      <c r="K119" s="8"/>
      <c r="L119" s="8"/>
    </row>
    <row r="120" spans="1:12" ht="15" customHeight="1" x14ac:dyDescent="0.25">
      <c r="A120" s="8"/>
      <c r="B120" s="182" t="s">
        <v>348</v>
      </c>
      <c r="C120" s="19">
        <f>C17+C29</f>
        <v>3.3500000000000002E-2</v>
      </c>
      <c r="D120" s="19">
        <f>D17+D29</f>
        <v>3.2500000000000001E-2</v>
      </c>
      <c r="E120" s="19">
        <f>MAX(0,(E17+$C$5)+E29)</f>
        <v>3.2000000000000001E-2</v>
      </c>
      <c r="F120" s="19">
        <f>MAX(0,(F17+$C$5)+F29)</f>
        <v>3.15E-2</v>
      </c>
      <c r="G120" s="19">
        <f>MAX(0,(G17+$C$5)+G29)</f>
        <v>3.1E-2</v>
      </c>
      <c r="H120" s="28"/>
      <c r="I120" s="8"/>
      <c r="J120" s="8"/>
      <c r="K120" s="8"/>
      <c r="L120" s="8"/>
    </row>
    <row r="121" spans="1:12" ht="15" customHeight="1" x14ac:dyDescent="0.25">
      <c r="A121" s="8"/>
      <c r="B121" s="182" t="s">
        <v>349</v>
      </c>
      <c r="C121" s="19">
        <f>C15+C27</f>
        <v>4.2999999999999997E-2</v>
      </c>
      <c r="D121" s="19">
        <f>D15+D27</f>
        <v>3.1E-2</v>
      </c>
      <c r="E121" s="19">
        <f>MAX(0,(E15+$C$5)+E27)</f>
        <v>2.8500000000000001E-2</v>
      </c>
      <c r="F121" s="19">
        <f>MAX(0,(F15+$C$5)+F27)</f>
        <v>2.6000000000000002E-2</v>
      </c>
      <c r="G121" s="19">
        <f>MAX(0,(G15+$C$5)+G27)</f>
        <v>2.6000000000000002E-2</v>
      </c>
      <c r="H121" s="28"/>
      <c r="I121" s="8"/>
      <c r="J121" s="8"/>
      <c r="K121" s="8"/>
      <c r="L121" s="8"/>
    </row>
    <row r="122" spans="1:12" ht="15" customHeight="1" x14ac:dyDescent="0.25">
      <c r="A122" s="8"/>
      <c r="B122" s="182" t="s">
        <v>350</v>
      </c>
      <c r="C122" s="19">
        <f>C30</f>
        <v>2.5000000000000001E-2</v>
      </c>
      <c r="D122" s="19">
        <f>D30</f>
        <v>2.5000000000000001E-2</v>
      </c>
      <c r="E122" s="19">
        <f>E30</f>
        <v>2.5000000000000001E-2</v>
      </c>
      <c r="F122" s="19">
        <f>F30</f>
        <v>2.5000000000000001E-2</v>
      </c>
      <c r="G122" s="19">
        <f>G30</f>
        <v>2.5000000000000001E-2</v>
      </c>
      <c r="H122" s="28"/>
      <c r="I122" s="8"/>
      <c r="J122" s="8"/>
      <c r="K122" s="8"/>
      <c r="L122" s="8"/>
    </row>
    <row r="123" spans="1:12" ht="15" customHeight="1" x14ac:dyDescent="0.25">
      <c r="A123" s="8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</row>
    <row r="124" spans="1:12" ht="15" customHeight="1" x14ac:dyDescent="0.25">
      <c r="A124" s="8"/>
      <c r="B124" s="298" t="s">
        <v>54</v>
      </c>
      <c r="C124" s="298"/>
      <c r="D124" s="298"/>
      <c r="E124" s="298"/>
      <c r="F124" s="298"/>
      <c r="G124" s="298"/>
      <c r="H124" s="298"/>
      <c r="I124" s="8"/>
      <c r="J124" s="8"/>
      <c r="K124" s="8"/>
      <c r="L124" s="8"/>
    </row>
    <row r="125" spans="1:12" ht="15" customHeight="1" x14ac:dyDescent="0.25">
      <c r="A125" s="8"/>
      <c r="B125" s="9" t="s">
        <v>351</v>
      </c>
      <c r="C125" s="10" t="s">
        <v>107</v>
      </c>
      <c r="D125" s="10" t="s">
        <v>50</v>
      </c>
      <c r="E125" s="10" t="s">
        <v>51</v>
      </c>
      <c r="F125" s="10" t="s">
        <v>52</v>
      </c>
      <c r="G125" s="10" t="s">
        <v>53</v>
      </c>
      <c r="H125" s="10"/>
      <c r="I125" s="8"/>
      <c r="J125" s="8"/>
      <c r="K125" s="8"/>
      <c r="L125" s="8"/>
    </row>
    <row r="126" spans="1:12" ht="15" customHeight="1" x14ac:dyDescent="0.25">
      <c r="A126" s="8"/>
      <c r="B126" s="11" t="s">
        <v>352</v>
      </c>
      <c r="C126" s="32">
        <f>'Master Balance Sheet'!C4</f>
        <v>182496</v>
      </c>
      <c r="D126" s="32">
        <f>'Master Balance Sheet'!D4</f>
        <v>211330</v>
      </c>
      <c r="E126" s="33">
        <f ca="1">E146-SUM(E127:E131)</f>
        <v>214325.3265915988</v>
      </c>
      <c r="F126" s="33">
        <f ca="1">F146-SUM(F127:F131)</f>
        <v>217157.60072309198</v>
      </c>
      <c r="G126" s="33">
        <f ca="1">G146-SUM(G127:G131)</f>
        <v>219876.42045560014</v>
      </c>
      <c r="H126" s="28"/>
      <c r="I126" s="8"/>
      <c r="J126" s="8"/>
      <c r="K126" s="8"/>
      <c r="L126" s="8"/>
    </row>
    <row r="127" spans="1:12" ht="15" customHeight="1" x14ac:dyDescent="0.25">
      <c r="A127" s="8"/>
      <c r="B127" s="11" t="s">
        <v>56</v>
      </c>
      <c r="C127" s="32">
        <f>SUM('Master Balance Sheet'!C5:C8)</f>
        <v>836538</v>
      </c>
      <c r="D127" s="32">
        <f>SUM('Master Balance Sheet'!D5:D8)</f>
        <v>870245</v>
      </c>
      <c r="E127" s="32">
        <f>D127*(1+$I$5)</f>
        <v>870245</v>
      </c>
      <c r="F127" s="32">
        <f>E127*(1+$I$5)</f>
        <v>870245</v>
      </c>
      <c r="G127" s="32">
        <f>F127*(1+$I$5)</f>
        <v>870245</v>
      </c>
      <c r="H127" s="28"/>
      <c r="I127" s="8"/>
      <c r="J127" s="8"/>
      <c r="K127" s="8"/>
      <c r="L127" s="8"/>
    </row>
    <row r="128" spans="1:12" ht="15" customHeight="1" x14ac:dyDescent="0.25">
      <c r="A128" s="8"/>
      <c r="B128" s="11" t="s">
        <v>57</v>
      </c>
      <c r="C128" s="32">
        <f>'Master Balance Sheet'!C12</f>
        <v>900141</v>
      </c>
      <c r="D128" s="32">
        <f>'Master Balance Sheet'!D12</f>
        <v>897358</v>
      </c>
      <c r="E128" s="33">
        <f>D128*(1+$D$5)</f>
        <v>924278.74</v>
      </c>
      <c r="F128" s="33">
        <f>E128*(1+$D$5)</f>
        <v>952007.10219999996</v>
      </c>
      <c r="G128" s="33">
        <f>F128*(1+$D$5)</f>
        <v>980567.31526599999</v>
      </c>
      <c r="H128" s="28"/>
      <c r="I128" s="8"/>
      <c r="J128" s="8"/>
      <c r="K128" s="8"/>
      <c r="L128" s="8"/>
    </row>
    <row r="129" spans="1:12" ht="15" customHeight="1" x14ac:dyDescent="0.25">
      <c r="A129" s="8"/>
      <c r="B129" s="11" t="s">
        <v>58</v>
      </c>
      <c r="C129" s="32">
        <f>'Master Balance Sheet'!C11</f>
        <v>31147</v>
      </c>
      <c r="D129" s="32">
        <f>'Master Balance Sheet'!D11</f>
        <v>26259</v>
      </c>
      <c r="E129" s="32">
        <f>D129*(1+$J$5)</f>
        <v>26259</v>
      </c>
      <c r="F129" s="32">
        <f>E129*(1+$J$5)</f>
        <v>26259</v>
      </c>
      <c r="G129" s="32">
        <f>F129*(1+$J$5)</f>
        <v>26259</v>
      </c>
      <c r="H129" s="28"/>
      <c r="I129" s="8"/>
      <c r="J129" s="8"/>
      <c r="K129" s="8"/>
      <c r="L129" s="8"/>
    </row>
    <row r="130" spans="1:12" ht="15" customHeight="1" x14ac:dyDescent="0.25">
      <c r="A130" s="8"/>
      <c r="B130" s="182" t="s">
        <v>498</v>
      </c>
      <c r="C130" s="32">
        <f>'Master Balance Sheet'!C10+'Master Balance Sheet'!C13</f>
        <v>148585</v>
      </c>
      <c r="D130" s="32">
        <f>'Master Balance Sheet'!D10+'Master Balance Sheet'!D13</f>
        <v>153107</v>
      </c>
      <c r="E130" s="33">
        <f>D130*(1+$D$5)</f>
        <v>157700.21</v>
      </c>
      <c r="F130" s="33">
        <f>E130*(1+$D$5)</f>
        <v>162431.2163</v>
      </c>
      <c r="G130" s="33">
        <f>F130*(1+$D$5)</f>
        <v>167304.15278900001</v>
      </c>
      <c r="H130" s="28"/>
      <c r="I130" s="8"/>
      <c r="J130" s="8"/>
      <c r="K130" s="8"/>
      <c r="L130" s="8"/>
    </row>
    <row r="131" spans="1:12" ht="15" customHeight="1" x14ac:dyDescent="0.25">
      <c r="A131" s="8"/>
      <c r="B131" s="11" t="s">
        <v>60</v>
      </c>
      <c r="C131" s="32">
        <f>'Master Balance Sheet'!C23-SUM(C126:C130)</f>
        <v>606001</v>
      </c>
      <c r="D131" s="32">
        <f>'Master Balance Sheet'!D23-SUM(D126:D130)</f>
        <v>634682</v>
      </c>
      <c r="E131" s="33">
        <f>D131*$C$260</f>
        <v>641028.81999999995</v>
      </c>
      <c r="F131" s="33">
        <f>E131*$C$260</f>
        <v>647439.1081999999</v>
      </c>
      <c r="G131" s="33">
        <f>F131*$C$260</f>
        <v>653913.49928199989</v>
      </c>
      <c r="H131" s="28"/>
      <c r="I131" s="8"/>
      <c r="J131" s="8"/>
      <c r="K131" s="8"/>
      <c r="L131" s="8"/>
    </row>
    <row r="132" spans="1:12" ht="15" customHeight="1" x14ac:dyDescent="0.25">
      <c r="A132" s="8"/>
      <c r="B132" s="14" t="s">
        <v>61</v>
      </c>
      <c r="C132" s="33">
        <f>SUM(C126:C131)</f>
        <v>2704908</v>
      </c>
      <c r="D132" s="33">
        <f>SUM(D126:D131)</f>
        <v>2792981</v>
      </c>
      <c r="E132" s="33">
        <f ca="1">SUM(E126:E131)</f>
        <v>2833837.0965915988</v>
      </c>
      <c r="F132" s="33">
        <f ca="1">SUM(F126:F131)</f>
        <v>2875539.0274230922</v>
      </c>
      <c r="G132" s="33">
        <f ca="1">SUM(G126:G131)</f>
        <v>2918165.3877926003</v>
      </c>
      <c r="H132" s="34"/>
      <c r="I132" s="8"/>
      <c r="J132" s="8"/>
      <c r="K132" s="8"/>
      <c r="L132" s="8"/>
    </row>
    <row r="133" spans="1:12" ht="15" customHeight="1" x14ac:dyDescent="0.25">
      <c r="A133" s="8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</row>
    <row r="134" spans="1:12" ht="15" customHeight="1" x14ac:dyDescent="0.25">
      <c r="A134" s="8"/>
      <c r="B134" s="298" t="s">
        <v>127</v>
      </c>
      <c r="C134" s="298"/>
      <c r="D134" s="298"/>
      <c r="E134" s="298"/>
      <c r="F134" s="298"/>
      <c r="G134" s="298"/>
      <c r="H134" s="298"/>
      <c r="I134" s="8"/>
      <c r="J134" s="8"/>
      <c r="K134" s="8"/>
      <c r="L134" s="8"/>
    </row>
    <row r="135" spans="1:12" ht="15" customHeight="1" x14ac:dyDescent="0.25">
      <c r="A135" s="8"/>
      <c r="B135" s="9" t="s">
        <v>353</v>
      </c>
      <c r="C135" s="10" t="s">
        <v>107</v>
      </c>
      <c r="D135" s="10" t="s">
        <v>50</v>
      </c>
      <c r="E135" s="10" t="s">
        <v>51</v>
      </c>
      <c r="F135" s="10" t="s">
        <v>52</v>
      </c>
      <c r="G135" s="10" t="s">
        <v>53</v>
      </c>
      <c r="H135" s="10"/>
      <c r="I135" s="8"/>
      <c r="J135" s="8"/>
      <c r="K135" s="8"/>
      <c r="L135" s="8"/>
    </row>
    <row r="136" spans="1:12" ht="15" customHeight="1" x14ac:dyDescent="0.25">
      <c r="A136" s="8"/>
      <c r="B136" s="182" t="s">
        <v>63</v>
      </c>
      <c r="C136" s="32">
        <f>'Master Balance Sheet'!C32</f>
        <v>1034857</v>
      </c>
      <c r="D136" s="32">
        <f>'Master Balance Sheet'!D32</f>
        <v>1075564</v>
      </c>
      <c r="E136" s="33">
        <f>D136*(1+$E$5)</f>
        <v>1102453.0999999999</v>
      </c>
      <c r="F136" s="33">
        <f>E136*(1+$E$5)</f>
        <v>1130014.4274999998</v>
      </c>
      <c r="G136" s="33">
        <f>F136*(1+$E$5)</f>
        <v>1158264.7881874996</v>
      </c>
      <c r="I136" s="8"/>
      <c r="J136" s="8"/>
      <c r="K136" s="8"/>
      <c r="L136" s="8"/>
    </row>
    <row r="137" spans="1:12" ht="15" customHeight="1" x14ac:dyDescent="0.25">
      <c r="A137" s="8"/>
      <c r="B137" s="182" t="s">
        <v>64</v>
      </c>
      <c r="C137" s="32">
        <f>'Master Balance Sheet'!C31</f>
        <v>66872</v>
      </c>
      <c r="D137" s="32">
        <f>'Master Balance Sheet'!D31</f>
        <v>69938</v>
      </c>
      <c r="E137" s="33">
        <f>D137</f>
        <v>69938</v>
      </c>
      <c r="F137" s="33">
        <f>E137</f>
        <v>69938</v>
      </c>
      <c r="G137" s="33">
        <f>F137</f>
        <v>69938</v>
      </c>
      <c r="I137" s="8"/>
      <c r="J137" s="8"/>
      <c r="K137" s="8"/>
      <c r="L137" s="8"/>
    </row>
    <row r="138" spans="1:12" ht="15" customHeight="1" x14ac:dyDescent="0.25">
      <c r="A138" s="8"/>
      <c r="B138" s="182" t="s">
        <v>65</v>
      </c>
      <c r="C138" s="32">
        <f>'Master Balance Sheet'!C27</f>
        <v>304817</v>
      </c>
      <c r="D138" s="32">
        <f>'Master Balance Sheet'!D27</f>
        <v>357947</v>
      </c>
      <c r="E138" s="32">
        <f>D138*(1+$K$5)</f>
        <v>357947</v>
      </c>
      <c r="F138" s="32">
        <f>E138*(1+$K$5)</f>
        <v>357947</v>
      </c>
      <c r="G138" s="32">
        <f>F138*(1+$K$5)</f>
        <v>357947</v>
      </c>
      <c r="I138" s="8"/>
      <c r="J138" s="8"/>
      <c r="K138" s="8"/>
      <c r="L138" s="8"/>
    </row>
    <row r="139" spans="1:12" ht="15" customHeight="1" x14ac:dyDescent="0.25">
      <c r="A139" s="8"/>
      <c r="B139" s="182" t="s">
        <v>66</v>
      </c>
      <c r="C139" s="32">
        <f>'Master Balance Sheet'!C33</f>
        <v>198119</v>
      </c>
      <c r="D139" s="32">
        <f>'Master Balance Sheet'!D33</f>
        <v>173933</v>
      </c>
      <c r="E139" s="33">
        <f t="shared" ref="E139:G140" si="2">D139</f>
        <v>173933</v>
      </c>
      <c r="F139" s="33">
        <f t="shared" si="2"/>
        <v>173933</v>
      </c>
      <c r="G139" s="33">
        <f t="shared" si="2"/>
        <v>173933</v>
      </c>
      <c r="I139" s="8"/>
      <c r="J139" s="8"/>
      <c r="K139" s="8"/>
      <c r="L139" s="8"/>
    </row>
    <row r="140" spans="1:12" ht="15" customHeight="1" x14ac:dyDescent="0.25">
      <c r="A140" s="8"/>
      <c r="B140" s="182" t="s">
        <v>67</v>
      </c>
      <c r="C140" s="32">
        <f>'Master Balance Sheet'!C34</f>
        <v>31799</v>
      </c>
      <c r="D140" s="32">
        <f>'Master Balance Sheet'!D34</f>
        <v>34468</v>
      </c>
      <c r="E140" s="33">
        <f t="shared" si="2"/>
        <v>34468</v>
      </c>
      <c r="F140" s="33">
        <f t="shared" si="2"/>
        <v>34468</v>
      </c>
      <c r="G140" s="33">
        <f t="shared" si="2"/>
        <v>34468</v>
      </c>
      <c r="I140" s="8"/>
      <c r="J140" s="8"/>
      <c r="K140" s="8"/>
      <c r="L140" s="8"/>
    </row>
    <row r="141" spans="1:12" ht="15" customHeight="1" x14ac:dyDescent="0.25">
      <c r="A141" s="8"/>
      <c r="B141" s="182" t="s">
        <v>68</v>
      </c>
      <c r="C141" s="32">
        <f>'Master Balance Sheet'!C42-SUM(C136:C140)</f>
        <v>934303</v>
      </c>
      <c r="D141" s="32">
        <f>'Master Balance Sheet'!D42-SUM(D136:D140)</f>
        <v>948958</v>
      </c>
      <c r="E141" s="33">
        <f>D141*$C$260</f>
        <v>958447.58</v>
      </c>
      <c r="F141" s="33">
        <f>E141*$C$260</f>
        <v>968032.05579999997</v>
      </c>
      <c r="G141" s="33">
        <f>F141*$C$260</f>
        <v>977712.37635799998</v>
      </c>
      <c r="I141" s="8"/>
      <c r="J141" s="8"/>
      <c r="K141" s="8"/>
      <c r="L141" s="8"/>
    </row>
    <row r="142" spans="1:12" ht="15" customHeight="1" x14ac:dyDescent="0.25">
      <c r="A142" s="8"/>
      <c r="B142" s="14" t="s">
        <v>69</v>
      </c>
      <c r="C142" s="33">
        <f>SUM(C136:C141)</f>
        <v>2570767</v>
      </c>
      <c r="D142" s="33">
        <f>SUM(D136:D141)</f>
        <v>2660808</v>
      </c>
      <c r="E142" s="33">
        <f>SUM(E136:E141)</f>
        <v>2697186.6799999997</v>
      </c>
      <c r="F142" s="33">
        <f>SUM(F136:F141)</f>
        <v>2734332.4832999995</v>
      </c>
      <c r="G142" s="33">
        <f>SUM(G136:G141)</f>
        <v>2772263.1645454997</v>
      </c>
      <c r="I142" s="8"/>
      <c r="J142" s="8"/>
      <c r="K142" s="8"/>
      <c r="L142" s="8"/>
    </row>
    <row r="143" spans="1:12" ht="15" customHeight="1" x14ac:dyDescent="0.25">
      <c r="A143" s="8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</row>
    <row r="144" spans="1:12" ht="15" customHeight="1" x14ac:dyDescent="0.25">
      <c r="A144" s="8"/>
      <c r="B144" s="9" t="s">
        <v>354</v>
      </c>
      <c r="C144" s="10" t="s">
        <v>107</v>
      </c>
      <c r="D144" s="10" t="s">
        <v>50</v>
      </c>
      <c r="E144" s="10" t="s">
        <v>51</v>
      </c>
      <c r="F144" s="10" t="s">
        <v>52</v>
      </c>
      <c r="G144" s="10" t="s">
        <v>53</v>
      </c>
      <c r="H144" s="10"/>
      <c r="I144" s="8"/>
      <c r="J144" s="8"/>
      <c r="K144" s="8"/>
      <c r="L144" s="8"/>
    </row>
    <row r="145" spans="1:12" ht="15" customHeight="1" x14ac:dyDescent="0.25">
      <c r="A145" s="8"/>
      <c r="B145" s="11" t="s">
        <v>70</v>
      </c>
      <c r="C145" s="32">
        <f>'Master Balance Sheet'!C50</f>
        <v>134141</v>
      </c>
      <c r="D145" s="32">
        <f>'Master Balance Sheet'!D50</f>
        <v>132173</v>
      </c>
      <c r="E145" s="32">
        <f ca="1">D145+Model!D33</f>
        <v>136650.416591599</v>
      </c>
      <c r="F145" s="32">
        <f ca="1">E145+Model!E33</f>
        <v>141206.54412309211</v>
      </c>
      <c r="G145" s="32">
        <f ca="1">F145+Model!F33</f>
        <v>145902.22324710042</v>
      </c>
      <c r="I145" s="8"/>
      <c r="J145" s="8"/>
      <c r="K145" s="8"/>
      <c r="L145" s="8"/>
    </row>
    <row r="146" spans="1:12" ht="15" customHeight="1" x14ac:dyDescent="0.25">
      <c r="A146" s="8"/>
      <c r="B146" s="14" t="s">
        <v>71</v>
      </c>
      <c r="C146" s="33">
        <f>C142+C145</f>
        <v>2704908</v>
      </c>
      <c r="D146" s="33">
        <f>D142+D145</f>
        <v>2792981</v>
      </c>
      <c r="E146" s="33">
        <f ca="1">E142+E145</f>
        <v>2833837.0965915988</v>
      </c>
      <c r="F146" s="33">
        <f ca="1">F142+F145</f>
        <v>2875539.0274230917</v>
      </c>
      <c r="G146" s="33">
        <f ca="1">G142+G145</f>
        <v>2918165.3877926003</v>
      </c>
      <c r="I146" s="8"/>
      <c r="J146" s="8"/>
      <c r="K146" s="8"/>
      <c r="L146" s="8"/>
    </row>
    <row r="147" spans="1:12" ht="15" customHeight="1" x14ac:dyDescent="0.25">
      <c r="A147" s="8"/>
      <c r="B147" s="185" t="s">
        <v>355</v>
      </c>
      <c r="C147" s="33">
        <f>C132-C146</f>
        <v>0</v>
      </c>
      <c r="D147" s="33">
        <f>D132-D146</f>
        <v>0</v>
      </c>
      <c r="E147" s="33">
        <f ca="1">E132-E146</f>
        <v>0</v>
      </c>
      <c r="F147" s="33">
        <f ca="1">F132-F146</f>
        <v>0</v>
      </c>
      <c r="G147" s="33">
        <f ca="1">G132-G146</f>
        <v>0</v>
      </c>
      <c r="I147" s="8"/>
      <c r="J147" s="8"/>
      <c r="K147" s="8"/>
      <c r="L147" s="8"/>
    </row>
    <row r="148" spans="1:12" ht="15" customHeight="1" x14ac:dyDescent="0.25">
      <c r="A148" s="8"/>
      <c r="B148" s="298" t="s">
        <v>356</v>
      </c>
      <c r="C148" s="298"/>
      <c r="D148" s="298"/>
      <c r="E148" s="298"/>
      <c r="F148" s="298"/>
      <c r="G148" s="298"/>
      <c r="H148" s="298"/>
      <c r="I148" s="8"/>
      <c r="J148" s="8"/>
      <c r="K148" s="8"/>
      <c r="L148" s="8"/>
    </row>
    <row r="149" spans="1:12" ht="15" customHeight="1" x14ac:dyDescent="0.25">
      <c r="A149" s="8"/>
      <c r="B149" s="182" t="s">
        <v>357</v>
      </c>
      <c r="C149" s="35">
        <f>C128/C136</f>
        <v>0.86982162752921421</v>
      </c>
      <c r="D149" s="35">
        <f>D128/D136</f>
        <v>0.83431390414703355</v>
      </c>
      <c r="E149" s="35">
        <f>E128/E136</f>
        <v>0.83838372806970207</v>
      </c>
      <c r="F149" s="35">
        <f>F128/F136</f>
        <v>0.8424734047919934</v>
      </c>
      <c r="G149" s="35">
        <f>G128/G136</f>
        <v>0.84658303115683253</v>
      </c>
      <c r="I149" s="8"/>
      <c r="J149" s="8"/>
      <c r="K149" s="8"/>
      <c r="L149" s="8"/>
    </row>
    <row r="150" spans="1:12" ht="15" customHeight="1" x14ac:dyDescent="0.25">
      <c r="A150" s="8"/>
      <c r="B150" s="14" t="s">
        <v>358</v>
      </c>
      <c r="C150" s="35">
        <f>(C137+C138+C139)/C142</f>
        <v>0.22164902536869346</v>
      </c>
      <c r="D150" s="35">
        <f>(D137+D138+D139)/D142</f>
        <v>0.22617866452596355</v>
      </c>
      <c r="E150" s="35">
        <f>(E137+E138+E139)/E142</f>
        <v>0.22312804837075648</v>
      </c>
      <c r="F150" s="35">
        <f>(F137+F138+F139)/F142</f>
        <v>0.22009686227831388</v>
      </c>
      <c r="G150" s="35">
        <f>(G137+G138+G139)/G142</f>
        <v>0.21708545122867706</v>
      </c>
      <c r="I150" s="8"/>
      <c r="J150" s="8"/>
      <c r="K150" s="8"/>
      <c r="L150" s="8"/>
    </row>
    <row r="151" spans="1:12" ht="15" customHeight="1" x14ac:dyDescent="0.25">
      <c r="A151" s="8"/>
      <c r="B151" s="14" t="s">
        <v>359</v>
      </c>
      <c r="C151" s="263">
        <f>(C136+C145)/C146</f>
        <v>0.43217662116419486</v>
      </c>
      <c r="D151" s="35">
        <f>(D136+D145)/D146</f>
        <v>0.43241862368558898</v>
      </c>
      <c r="E151" s="35">
        <f ca="1">(E136+E145)/E146</f>
        <v>0.43725290987330645</v>
      </c>
      <c r="F151" s="35">
        <f ca="1">(F136+F145)/F146</f>
        <v>0.44208093143576421</v>
      </c>
      <c r="G151" s="35">
        <f ca="1">(G136+G145)/G146</f>
        <v>0.44691333016636053</v>
      </c>
      <c r="I151" s="8"/>
      <c r="J151" s="8"/>
      <c r="K151" s="8"/>
      <c r="L151" s="8"/>
    </row>
    <row r="152" spans="1:12" ht="15" customHeight="1" x14ac:dyDescent="0.25">
      <c r="A152" s="8"/>
      <c r="B152" s="36"/>
      <c r="C152" s="37"/>
      <c r="D152" s="37"/>
      <c r="E152" s="37"/>
      <c r="F152" s="37"/>
      <c r="G152" s="37"/>
      <c r="I152" s="8"/>
      <c r="J152" s="8"/>
      <c r="K152" s="8"/>
      <c r="L152" s="8"/>
    </row>
    <row r="153" spans="1:12" ht="15" customHeight="1" x14ac:dyDescent="0.25">
      <c r="A153" s="8"/>
      <c r="B153" s="36"/>
      <c r="C153" s="37"/>
      <c r="D153" s="37"/>
      <c r="E153" s="37"/>
      <c r="F153" s="37"/>
      <c r="G153" s="37"/>
      <c r="H153" s="28"/>
      <c r="I153" s="8"/>
      <c r="J153" s="8"/>
      <c r="K153" s="8"/>
      <c r="L153" s="8"/>
    </row>
    <row r="154" spans="1:12" ht="15" customHeight="1" collapsed="1" x14ac:dyDescent="0.25">
      <c r="A154" s="8"/>
      <c r="B154" s="267" t="s">
        <v>820</v>
      </c>
      <c r="C154" s="15"/>
      <c r="D154" s="15"/>
      <c r="E154" s="15"/>
      <c r="F154" s="15"/>
      <c r="G154" s="15"/>
      <c r="H154" s="15"/>
      <c r="I154" s="15"/>
      <c r="J154" s="15"/>
      <c r="K154" s="8"/>
      <c r="L154" s="8"/>
    </row>
    <row r="155" spans="1:12" ht="15" customHeight="1" x14ac:dyDescent="0.25">
      <c r="A155" s="8"/>
      <c r="B155" s="186" t="s">
        <v>360</v>
      </c>
      <c r="C155" s="12">
        <v>0</v>
      </c>
      <c r="D155" s="39"/>
      <c r="E155" s="39"/>
      <c r="F155" s="39"/>
      <c r="G155" s="39"/>
      <c r="I155" s="8"/>
      <c r="J155" s="8"/>
      <c r="K155" s="8"/>
      <c r="L155" s="8"/>
    </row>
    <row r="156" spans="1:12" ht="15" customHeight="1" x14ac:dyDescent="0.25">
      <c r="A156" s="8"/>
      <c r="B156" s="182" t="s">
        <v>361</v>
      </c>
      <c r="C156" s="24">
        <v>0.25</v>
      </c>
      <c r="D156" s="183"/>
      <c r="E156" s="183"/>
      <c r="F156" s="183"/>
      <c r="G156" s="183"/>
      <c r="I156" s="8"/>
      <c r="J156" s="8"/>
      <c r="K156" s="8"/>
      <c r="L156" s="8"/>
    </row>
    <row r="157" spans="1:12" ht="15" customHeight="1" x14ac:dyDescent="0.25">
      <c r="A157" s="8"/>
      <c r="B157" s="183"/>
      <c r="C157" s="183"/>
      <c r="D157" s="183"/>
      <c r="E157" s="183"/>
      <c r="F157" s="183"/>
      <c r="G157" s="183"/>
      <c r="I157" s="8"/>
      <c r="J157" s="8"/>
      <c r="K157" s="8"/>
      <c r="L157" s="8"/>
    </row>
    <row r="158" spans="1:12" ht="24.75" customHeight="1" x14ac:dyDescent="0.25">
      <c r="A158" s="8"/>
      <c r="B158" s="184" t="s">
        <v>362</v>
      </c>
      <c r="C158" s="183"/>
      <c r="D158" s="183"/>
      <c r="E158" s="183"/>
      <c r="F158" s="183"/>
      <c r="G158" s="183"/>
      <c r="I158" s="8"/>
      <c r="J158" s="8"/>
      <c r="K158" s="8"/>
      <c r="L158" s="8"/>
    </row>
    <row r="159" spans="1:12" ht="15" customHeight="1" x14ac:dyDescent="0.25">
      <c r="A159" s="8"/>
      <c r="B159" s="184" t="s">
        <v>363</v>
      </c>
      <c r="C159" s="12">
        <v>0</v>
      </c>
      <c r="D159" s="8"/>
      <c r="E159" s="8"/>
      <c r="F159" s="8"/>
      <c r="G159" s="8"/>
      <c r="I159" s="8"/>
      <c r="J159" s="8"/>
      <c r="K159" s="8"/>
      <c r="L159" s="8"/>
    </row>
    <row r="160" spans="1:12" ht="15" customHeight="1" x14ac:dyDescent="0.25">
      <c r="A160" s="8"/>
      <c r="B160" s="184" t="s">
        <v>364</v>
      </c>
      <c r="C160" s="24">
        <v>0.9</v>
      </c>
      <c r="D160" s="8"/>
      <c r="E160" s="8"/>
      <c r="F160" s="8"/>
      <c r="G160" s="8"/>
      <c r="I160" s="8"/>
      <c r="J160" s="8"/>
      <c r="K160" s="8"/>
      <c r="L160" s="8"/>
    </row>
    <row r="161" spans="1:12" ht="15" customHeight="1" x14ac:dyDescent="0.25">
      <c r="A161" s="8"/>
      <c r="B161" s="184" t="s">
        <v>365</v>
      </c>
      <c r="C161" s="24">
        <v>0.02</v>
      </c>
      <c r="D161" s="8"/>
      <c r="E161" s="8"/>
      <c r="F161" s="8"/>
      <c r="G161" s="8"/>
      <c r="I161" s="8"/>
      <c r="J161" s="8"/>
      <c r="K161" s="8"/>
      <c r="L161" s="8"/>
    </row>
    <row r="162" spans="1:12" ht="15" customHeight="1" x14ac:dyDescent="0.25">
      <c r="A162" s="8"/>
      <c r="B162" s="184" t="s">
        <v>366</v>
      </c>
      <c r="C162" s="24">
        <v>0.03</v>
      </c>
      <c r="D162" s="8"/>
      <c r="E162" s="8"/>
      <c r="F162" s="8"/>
      <c r="G162" s="8"/>
      <c r="I162" s="8"/>
      <c r="J162" s="8"/>
      <c r="K162" s="8"/>
      <c r="L162" s="8"/>
    </row>
    <row r="163" spans="1:12" ht="15" customHeight="1" x14ac:dyDescent="0.25">
      <c r="A163" s="8"/>
      <c r="B163" s="184" t="s">
        <v>367</v>
      </c>
      <c r="C163" s="24">
        <v>0.02</v>
      </c>
      <c r="D163" s="8"/>
      <c r="E163" s="8"/>
      <c r="F163" s="8"/>
      <c r="G163" s="8"/>
      <c r="I163" s="8"/>
      <c r="J163" s="8"/>
      <c r="K163" s="8"/>
      <c r="L163" s="8"/>
    </row>
    <row r="164" spans="1:12" ht="15" customHeight="1" x14ac:dyDescent="0.25">
      <c r="A164" s="8"/>
      <c r="B164" s="184" t="s">
        <v>368</v>
      </c>
      <c r="C164" s="24">
        <v>0.02</v>
      </c>
      <c r="D164" s="8"/>
      <c r="E164" s="8"/>
      <c r="F164" s="8"/>
      <c r="G164" s="8"/>
      <c r="I164" s="8"/>
      <c r="J164" s="8"/>
      <c r="K164" s="8"/>
      <c r="L164" s="8"/>
    </row>
    <row r="165" spans="1:12" ht="15" customHeight="1" x14ac:dyDescent="0.25">
      <c r="A165" s="8"/>
      <c r="B165" s="184" t="s">
        <v>369</v>
      </c>
      <c r="C165" s="24">
        <v>0.01</v>
      </c>
      <c r="D165" s="8"/>
      <c r="E165" s="8"/>
      <c r="F165" s="8"/>
      <c r="G165" s="8"/>
      <c r="I165" s="8"/>
      <c r="J165" s="8"/>
      <c r="K165" s="8"/>
      <c r="L165" s="8"/>
    </row>
    <row r="166" spans="1:12" ht="15" customHeight="1" x14ac:dyDescent="0.25">
      <c r="A166" s="8"/>
      <c r="B166" s="8"/>
      <c r="C166" s="8"/>
      <c r="D166" s="8"/>
      <c r="E166" s="8"/>
      <c r="F166" s="8"/>
      <c r="G166" s="8"/>
      <c r="I166" s="8"/>
      <c r="J166" s="8"/>
      <c r="K166" s="8"/>
      <c r="L166" s="8"/>
    </row>
    <row r="167" spans="1:12" ht="15" customHeight="1" x14ac:dyDescent="0.25">
      <c r="A167" s="8"/>
      <c r="B167" s="293" t="s">
        <v>370</v>
      </c>
      <c r="C167" s="293"/>
      <c r="D167" s="293"/>
      <c r="E167" s="38"/>
      <c r="F167" s="38"/>
      <c r="G167" s="38"/>
      <c r="H167" s="38"/>
      <c r="I167" s="38"/>
      <c r="J167" s="38"/>
      <c r="K167" s="8"/>
      <c r="L167" s="8"/>
    </row>
    <row r="168" spans="1:12" ht="15" customHeight="1" x14ac:dyDescent="0.25">
      <c r="A168" s="8"/>
      <c r="B168" s="11" t="s">
        <v>371</v>
      </c>
      <c r="C168" s="24">
        <v>0.1</v>
      </c>
      <c r="D168" s="8"/>
      <c r="E168" s="8"/>
      <c r="F168" s="8"/>
      <c r="G168" s="8"/>
      <c r="I168" s="8"/>
      <c r="J168" s="8"/>
      <c r="K168" s="8"/>
      <c r="L168" s="8"/>
    </row>
    <row r="169" spans="1:12" ht="15" customHeight="1" x14ac:dyDescent="0.25">
      <c r="A169" s="8"/>
      <c r="B169" s="11" t="s">
        <v>372</v>
      </c>
      <c r="C169" s="24">
        <v>0.1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5" customHeight="1" x14ac:dyDescent="0.25">
      <c r="A170" s="8"/>
      <c r="B170" s="11" t="s">
        <v>373</v>
      </c>
      <c r="C170" s="24">
        <v>0.15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5" customHeight="1" x14ac:dyDescent="0.25">
      <c r="A171" s="8"/>
      <c r="B171" s="11" t="s">
        <v>374</v>
      </c>
      <c r="C171" s="24">
        <v>0.25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5" customHeight="1" x14ac:dyDescent="0.25">
      <c r="A172" s="8"/>
      <c r="B172" s="11" t="s">
        <v>375</v>
      </c>
      <c r="C172" s="24">
        <v>0.3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5" customHeight="1" x14ac:dyDescent="0.25">
      <c r="A173" s="8"/>
      <c r="B173" s="11" t="s">
        <v>376</v>
      </c>
      <c r="C173" s="24">
        <v>0.1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5" customHeight="1" x14ac:dyDescent="0.25">
      <c r="A175" s="8"/>
      <c r="B175" s="184" t="s">
        <v>377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5" customHeight="1" x14ac:dyDescent="0.25">
      <c r="A176" s="8"/>
      <c r="B176" s="184" t="s">
        <v>378</v>
      </c>
      <c r="C176" s="24">
        <v>3.0000000000000001E-3</v>
      </c>
      <c r="D176" s="8"/>
      <c r="E176" s="8"/>
      <c r="F176" s="8"/>
      <c r="G176" s="8"/>
      <c r="I176" s="8"/>
      <c r="J176" s="8"/>
      <c r="K176" s="8"/>
      <c r="L176" s="8"/>
    </row>
    <row r="177" spans="1:12" ht="15" customHeight="1" x14ac:dyDescent="0.25">
      <c r="A177" s="8"/>
      <c r="B177" s="184" t="s">
        <v>379</v>
      </c>
      <c r="C177" s="24">
        <v>0.125</v>
      </c>
      <c r="D177" s="8"/>
      <c r="E177" s="8"/>
      <c r="F177" s="8"/>
      <c r="G177" s="8"/>
      <c r="I177" s="8"/>
      <c r="J177" s="8"/>
      <c r="K177" s="8"/>
      <c r="L177" s="8"/>
    </row>
    <row r="178" spans="1:12" ht="15" customHeight="1" x14ac:dyDescent="0.25">
      <c r="A178" s="8"/>
      <c r="B178" s="184" t="s">
        <v>380</v>
      </c>
      <c r="C178" s="24">
        <v>0.375</v>
      </c>
      <c r="D178" s="8"/>
      <c r="E178" s="8"/>
      <c r="F178" s="8"/>
      <c r="G178" s="8"/>
      <c r="I178" s="8"/>
      <c r="J178" s="8"/>
      <c r="K178" s="8"/>
      <c r="L178" s="8"/>
    </row>
    <row r="179" spans="1:12" ht="15" customHeight="1" x14ac:dyDescent="0.25">
      <c r="A179" s="8"/>
      <c r="B179" s="184" t="s">
        <v>381</v>
      </c>
      <c r="C179" s="24">
        <v>0.75</v>
      </c>
      <c r="D179" s="8"/>
      <c r="E179" s="8"/>
      <c r="F179" s="8"/>
      <c r="G179" s="8"/>
      <c r="I179" s="8"/>
      <c r="J179" s="8"/>
      <c r="K179" s="8"/>
      <c r="L179" s="8"/>
    </row>
    <row r="180" spans="1:12" ht="15" customHeight="1" x14ac:dyDescent="0.25">
      <c r="A180" s="8"/>
      <c r="B180" s="184" t="s">
        <v>382</v>
      </c>
      <c r="C180" s="12">
        <v>1.5</v>
      </c>
      <c r="D180" s="8"/>
      <c r="E180" s="8"/>
      <c r="F180" s="8"/>
      <c r="G180" s="8"/>
      <c r="I180" s="8"/>
      <c r="J180" s="8"/>
      <c r="K180" s="8"/>
      <c r="L180" s="8"/>
    </row>
    <row r="181" spans="1:12" ht="15" customHeight="1" x14ac:dyDescent="0.25">
      <c r="A181" s="8"/>
      <c r="B181" s="184" t="s">
        <v>383</v>
      </c>
      <c r="C181" s="12">
        <v>3.5</v>
      </c>
      <c r="D181" s="8"/>
      <c r="E181" s="8"/>
      <c r="F181" s="8"/>
      <c r="G181" s="8"/>
      <c r="I181" s="8"/>
      <c r="J181" s="8"/>
      <c r="K181" s="8"/>
      <c r="L181" s="8"/>
    </row>
    <row r="182" spans="1:12" ht="15" customHeight="1" x14ac:dyDescent="0.25">
      <c r="A182" s="8"/>
      <c r="B182" s="184" t="s">
        <v>384</v>
      </c>
      <c r="C182" s="12">
        <v>7</v>
      </c>
      <c r="D182" s="8"/>
      <c r="E182" s="8"/>
      <c r="F182" s="8"/>
      <c r="G182" s="8"/>
      <c r="I182" s="8"/>
      <c r="J182" s="8"/>
      <c r="K182" s="8"/>
      <c r="L182" s="8"/>
    </row>
    <row r="183" spans="1:12" ht="15" customHeight="1" x14ac:dyDescent="0.25">
      <c r="A183" s="8"/>
      <c r="B183" s="8"/>
      <c r="C183" s="8"/>
      <c r="D183" s="8"/>
      <c r="E183" s="8"/>
      <c r="F183" s="8"/>
      <c r="G183" s="8"/>
      <c r="I183" s="8"/>
      <c r="J183" s="8"/>
      <c r="K183" s="8"/>
      <c r="L183" s="8"/>
    </row>
    <row r="184" spans="1:12" ht="15" customHeight="1" x14ac:dyDescent="0.25">
      <c r="A184" s="8"/>
      <c r="B184" s="11" t="s">
        <v>385</v>
      </c>
      <c r="C184" s="24">
        <v>0.85</v>
      </c>
      <c r="D184" s="8"/>
      <c r="E184" s="8"/>
      <c r="F184" s="8"/>
      <c r="G184" s="8"/>
      <c r="I184" s="8"/>
      <c r="J184" s="8"/>
      <c r="K184" s="8"/>
      <c r="L184" s="8"/>
    </row>
    <row r="185" spans="1:12" ht="15" customHeight="1" x14ac:dyDescent="0.25">
      <c r="A185" s="8"/>
      <c r="B185" s="8"/>
      <c r="C185" s="8"/>
      <c r="D185" s="8"/>
      <c r="E185" s="8"/>
      <c r="F185" s="8"/>
      <c r="G185" s="8"/>
      <c r="I185" s="8"/>
      <c r="J185" s="8"/>
      <c r="K185" s="8"/>
      <c r="L185" s="8"/>
    </row>
    <row r="186" spans="1:12" ht="15" customHeight="1" x14ac:dyDescent="0.25">
      <c r="A186" s="8"/>
      <c r="B186" s="11" t="s">
        <v>386</v>
      </c>
      <c r="C186" s="24">
        <v>0.15</v>
      </c>
      <c r="D186" s="8"/>
      <c r="E186" s="8"/>
      <c r="F186" s="8"/>
      <c r="G186" s="8"/>
      <c r="I186" s="8"/>
      <c r="J186" s="8"/>
      <c r="K186" s="8"/>
      <c r="L186" s="8"/>
    </row>
    <row r="187" spans="1:12" ht="15" customHeight="1" x14ac:dyDescent="0.25">
      <c r="A187" s="8"/>
      <c r="B187" s="8"/>
      <c r="C187" s="8"/>
      <c r="D187" s="8"/>
      <c r="E187" s="8"/>
      <c r="F187" s="8"/>
      <c r="G187" s="8"/>
      <c r="I187" s="8"/>
      <c r="J187" s="8"/>
      <c r="K187" s="8"/>
      <c r="L187" s="8"/>
    </row>
    <row r="188" spans="1:12" ht="15" customHeight="1" x14ac:dyDescent="0.25">
      <c r="A188" s="8"/>
      <c r="B188" s="11" t="s">
        <v>387</v>
      </c>
      <c r="C188" s="24">
        <v>0.75</v>
      </c>
      <c r="D188" s="8"/>
      <c r="E188" s="8"/>
      <c r="F188" s="8"/>
      <c r="G188" s="8"/>
      <c r="I188" s="8"/>
      <c r="J188" s="8"/>
      <c r="K188" s="8"/>
      <c r="L188" s="8"/>
    </row>
    <row r="189" spans="1:12" ht="15" customHeight="1" x14ac:dyDescent="0.25">
      <c r="A189" s="8"/>
      <c r="B189" s="8"/>
      <c r="C189" s="8"/>
      <c r="D189" s="8"/>
      <c r="E189" s="8"/>
      <c r="F189" s="8"/>
      <c r="G189" s="8"/>
      <c r="I189" s="8"/>
      <c r="J189" s="8"/>
      <c r="K189" s="8"/>
      <c r="L189" s="8"/>
    </row>
    <row r="190" spans="1:12" ht="15" customHeight="1" x14ac:dyDescent="0.25">
      <c r="A190" s="8"/>
      <c r="B190" s="11" t="s">
        <v>388</v>
      </c>
      <c r="C190" s="24">
        <v>0.15</v>
      </c>
      <c r="D190" s="8"/>
      <c r="E190" s="8"/>
      <c r="F190" s="8"/>
      <c r="G190" s="8"/>
      <c r="I190" s="8"/>
      <c r="J190" s="8"/>
      <c r="K190" s="8"/>
      <c r="L190" s="8"/>
    </row>
    <row r="191" spans="1:12" ht="15" customHeight="1" x14ac:dyDescent="0.25">
      <c r="A191" s="8"/>
      <c r="B191" s="8"/>
      <c r="C191" s="8"/>
      <c r="D191" s="8"/>
      <c r="E191" s="8"/>
      <c r="F191" s="8"/>
      <c r="G191" s="8"/>
      <c r="I191" s="8"/>
      <c r="J191" s="8"/>
      <c r="K191" s="8"/>
      <c r="L191" s="8"/>
    </row>
    <row r="192" spans="1:12" ht="21.75" customHeight="1" x14ac:dyDescent="0.25">
      <c r="A192" s="8"/>
      <c r="B192" s="184"/>
      <c r="C192" s="8"/>
      <c r="D192" s="8"/>
      <c r="E192" s="8"/>
      <c r="F192" s="8"/>
      <c r="G192" s="8"/>
      <c r="I192" s="8"/>
      <c r="J192" s="8"/>
      <c r="K192" s="8"/>
      <c r="L192" s="8"/>
    </row>
    <row r="193" spans="1:12" ht="1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5" customHeight="1" collapsed="1" x14ac:dyDescent="0.25">
      <c r="A194" s="8"/>
      <c r="B194" s="268" t="s">
        <v>389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spans="1:12" ht="15" customHeight="1" x14ac:dyDescent="0.25">
      <c r="A195" s="8"/>
      <c r="B195" s="11" t="s">
        <v>390</v>
      </c>
      <c r="C195" s="33">
        <f ca="1">(E126*E14)+(E128*(D116+$C$24*((E15+C7)-D15)))+(E129*((E15+C7)+E27))+(E130*((E17+C7)+E26))-(E136*MAX(0,D117+F7*((E14+C7)-D14)))-(E137*((E15+C7)+E27))-(E138*((E14+C7)+E28))-(E139*((E17+C7)+E29))-(E140*E30)</f>
        <v>22685.668548310965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5" customHeight="1" x14ac:dyDescent="0.25">
      <c r="A196" s="8"/>
      <c r="B196" s="11" t="s">
        <v>391</v>
      </c>
      <c r="C196" s="33">
        <f ca="1">(E126*E14)+(E128*(D116+$C$24*((E15+C8)-D15)))+(E129*((E15+C8)+E27))+(E130*((E17+C8)+E26))-(E136*MAX(0,D117+F8*((E14+C8)-D14)))-(E137*((E15+C8)+E27))-(E138*((E14+C8)+E28))-(E139*((E17+C8)+E29))-(E140*E30)</f>
        <v>20216.592343310975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5" customHeight="1" x14ac:dyDescent="0.25">
      <c r="A197" s="8"/>
      <c r="B197" s="11" t="s">
        <v>392</v>
      </c>
      <c r="C197" s="33">
        <f ca="1">(E126*E14)+(E128*(D116+$C$24*((E15+C9)-D15)))+(E129*((E15+C9)+E27))+(E130*((E17+C9)+E26))-(E136*MAX(0,D117+F9*((E14+C9)-D14)))-(E137*((E15+C9)+E27))-(E138*((E14+C9)+E28))-(E139*((E17+C9)+E29))-(E140*E30)</f>
        <v>18815.639428310969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5" customHeight="1" x14ac:dyDescent="0.25">
      <c r="A198" s="8"/>
      <c r="B198" s="11" t="s">
        <v>393</v>
      </c>
      <c r="C198" s="33">
        <f ca="1">(E126*E14)+(E128*(D116+$C$24*((E15+C10)-D15)))+(E129*((E15+C10)+E27))+(E130*((E17+C10)+E26))-(E136*MAX(0,D117+F10*((E14+C10)-D14)))-(E137*((E15+C10)+E27))-(E138*((E14+C10)+E28))-(E139*((E17+C10)+E29))-(E140*E30)</f>
        <v>15812.501578310974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5" customHeight="1" x14ac:dyDescent="0.25">
      <c r="A200" s="8"/>
      <c r="B200" s="11" t="s">
        <v>394</v>
      </c>
      <c r="C200" s="19">
        <f ca="1">C195/((D126+D128+D129+D130+E126+E128+E129+E130)/2)</f>
        <v>1.7379543720731975E-2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5" customHeight="1" x14ac:dyDescent="0.25">
      <c r="A201" s="8"/>
      <c r="B201" s="11" t="s">
        <v>395</v>
      </c>
      <c r="C201" s="19">
        <f ca="1">C196/((D126+D128+D129+D130+E126+E128+E129+E130)/2)</f>
        <v>1.5487978666643618E-2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5" customHeight="1" x14ac:dyDescent="0.25">
      <c r="A202" s="8"/>
      <c r="B202" s="11" t="s">
        <v>396</v>
      </c>
      <c r="C202" s="19">
        <f ca="1">C197/((D126+D128+D129+D130+E126+E128+E129+E130)/2)</f>
        <v>1.4414705362615632E-2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5" customHeight="1" x14ac:dyDescent="0.25">
      <c r="A203" s="8"/>
      <c r="B203" s="11" t="s">
        <v>397</v>
      </c>
      <c r="C203" s="19">
        <f ca="1">C198/((D126+D128+D129+D130+E126+E128+E129+E130)/2)</f>
        <v>1.2113994433497085E-2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5" customHeight="1" x14ac:dyDescent="0.25">
      <c r="A204" s="8"/>
      <c r="B204" s="8"/>
      <c r="C204" s="40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5" customHeight="1" x14ac:dyDescent="0.25">
      <c r="A205" s="8"/>
      <c r="B205" s="11" t="s">
        <v>398</v>
      </c>
      <c r="C205" s="19">
        <f>D116+$C$24*((E15+C7)-D15)</f>
        <v>3.5749999999999997E-2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5" customHeight="1" x14ac:dyDescent="0.25">
      <c r="A206" s="8"/>
      <c r="B206" s="11" t="s">
        <v>399</v>
      </c>
      <c r="C206" s="19">
        <f>D116+$C$24*((E15+C8)-D15)</f>
        <v>5.3749999999999999E-2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5" customHeight="1" x14ac:dyDescent="0.25">
      <c r="A207" s="8"/>
      <c r="B207" s="11" t="s">
        <v>400</v>
      </c>
      <c r="C207" s="19">
        <f>D116+$C$24*((E15+C9)-D15)</f>
        <v>1.7749999999999998E-2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5" customHeight="1" x14ac:dyDescent="0.25">
      <c r="A208" s="8"/>
      <c r="B208" s="11" t="s">
        <v>401</v>
      </c>
      <c r="C208" s="19">
        <f>D116+$C$24*((E15+C10)-D15)</f>
        <v>6.275E-2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5" customHeight="1" x14ac:dyDescent="0.25">
      <c r="A209" s="8"/>
      <c r="B209" s="8"/>
      <c r="C209" s="40"/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5" customHeight="1" x14ac:dyDescent="0.25">
      <c r="A210" s="8"/>
      <c r="B210" s="11" t="s">
        <v>402</v>
      </c>
      <c r="C210" s="19">
        <f>MAX(0,D117+F7*((E14+C7)-D14))</f>
        <v>4.0000000000000001E-3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5" customHeight="1" x14ac:dyDescent="0.25">
      <c r="A211" s="8"/>
      <c r="B211" s="11" t="s">
        <v>403</v>
      </c>
      <c r="C211" s="19">
        <f>MAX(0,D117+F8*((E14+C8)-D14))</f>
        <v>1.3749999999999998E-2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5" customHeight="1" x14ac:dyDescent="0.25">
      <c r="A212" s="8"/>
      <c r="B212" s="11" t="s">
        <v>404</v>
      </c>
      <c r="C212" s="19">
        <f>MAX(0,D117+F9*((E14+C9)-D14))</f>
        <v>0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5" customHeight="1" x14ac:dyDescent="0.25">
      <c r="A213" s="8"/>
      <c r="B213" s="11" t="s">
        <v>405</v>
      </c>
      <c r="C213" s="19">
        <f>MAX(0,D117+F10*((E14+C10)-D14))</f>
        <v>2.1499999999999998E-2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5" customHeight="1" x14ac:dyDescent="0.25">
      <c r="A215" s="8"/>
      <c r="B215" s="11" t="s">
        <v>406</v>
      </c>
      <c r="C215" s="33">
        <f ca="1">((C195+E132*$C$40)*(1-H7)-(E128*G7/10000))*(1-$C$156)</f>
        <v>11193.541478997471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5" customHeight="1" x14ac:dyDescent="0.25">
      <c r="A216" s="8"/>
      <c r="B216" s="11" t="s">
        <v>407</v>
      </c>
      <c r="C216" s="33">
        <f ca="1">((C196+E132*$C$40)*(1-H8)-(E128*G8/10000))*(1-$C$156)</f>
        <v>9821.5955647021437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5" customHeight="1" x14ac:dyDescent="0.25">
      <c r="A217" s="8"/>
      <c r="B217" s="11" t="s">
        <v>408</v>
      </c>
      <c r="C217" s="33">
        <f ca="1">((C197+E132*$C$40)*(1-H9)-(E128*G9/10000))*(1-$C$156)</f>
        <v>10748.335228805299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5" customHeight="1" x14ac:dyDescent="0.25">
      <c r="A218" s="8"/>
      <c r="B218" s="11" t="s">
        <v>409</v>
      </c>
      <c r="C218" s="33">
        <f ca="1">((C198+E132*$C$40)*(1-H10)-(E128*G10/10000))*(1-$C$156)</f>
        <v>5942.5852371489873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5" customHeight="1" collapsed="1" x14ac:dyDescent="0.25"/>
    <row r="220" spans="1:12" ht="15" customHeight="1" x14ac:dyDescent="0.25">
      <c r="B220" s="294" t="s">
        <v>410</v>
      </c>
      <c r="C220" s="294"/>
      <c r="D220" s="294"/>
      <c r="E220" s="294"/>
    </row>
    <row r="221" spans="1:12" ht="15" customHeight="1" x14ac:dyDescent="0.25">
      <c r="B221" s="11" t="s">
        <v>411</v>
      </c>
      <c r="C221" s="33">
        <f ca="1">C215*(1-$C$41)</f>
        <v>4477.4165915989888</v>
      </c>
    </row>
    <row r="222" spans="1:12" ht="15" customHeight="1" x14ac:dyDescent="0.25">
      <c r="B222" s="11" t="s">
        <v>412</v>
      </c>
      <c r="C222" s="33">
        <f ca="1">C216*(1-$C$41)</f>
        <v>3928.6382258808576</v>
      </c>
    </row>
    <row r="223" spans="1:12" ht="15" customHeight="1" x14ac:dyDescent="0.25">
      <c r="B223" s="11" t="s">
        <v>413</v>
      </c>
      <c r="C223" s="33">
        <f ca="1">C217*(1-$C$41)</f>
        <v>4299.3340915221197</v>
      </c>
    </row>
    <row r="224" spans="1:12" ht="15" customHeight="1" x14ac:dyDescent="0.25">
      <c r="B224" s="11" t="s">
        <v>414</v>
      </c>
      <c r="C224" s="33">
        <f ca="1">C218*(1-$C$41)</f>
        <v>2377.0340948595949</v>
      </c>
    </row>
    <row r="226" spans="2:3" ht="15" customHeight="1" x14ac:dyDescent="0.25">
      <c r="B226" s="11" t="s">
        <v>415</v>
      </c>
      <c r="C226" s="33">
        <f ca="1">D145+C221</f>
        <v>136650.416591599</v>
      </c>
    </row>
    <row r="227" spans="2:3" ht="15" customHeight="1" x14ac:dyDescent="0.25">
      <c r="B227" s="11" t="s">
        <v>416</v>
      </c>
      <c r="C227" s="33">
        <f ca="1">D145+C222</f>
        <v>136101.63822588086</v>
      </c>
    </row>
    <row r="228" spans="2:3" ht="15" customHeight="1" x14ac:dyDescent="0.25">
      <c r="B228" s="11" t="s">
        <v>417</v>
      </c>
      <c r="C228" s="33">
        <f ca="1">D145+C223</f>
        <v>136472.33409152212</v>
      </c>
    </row>
    <row r="229" spans="2:3" ht="15" customHeight="1" x14ac:dyDescent="0.25">
      <c r="B229" s="11" t="s">
        <v>418</v>
      </c>
      <c r="C229" s="33">
        <f ca="1">D145+C224</f>
        <v>134550.03409485958</v>
      </c>
    </row>
    <row r="231" spans="2:3" ht="15" customHeight="1" x14ac:dyDescent="0.25">
      <c r="B231" s="11" t="s">
        <v>419</v>
      </c>
      <c r="C231" s="33">
        <f>D128*(1+D7)</f>
        <v>924278.74</v>
      </c>
    </row>
    <row r="232" spans="2:3" ht="15" customHeight="1" x14ac:dyDescent="0.25">
      <c r="B232" s="11" t="s">
        <v>420</v>
      </c>
      <c r="C232" s="33">
        <f>D128*(1+D8)</f>
        <v>915305.16</v>
      </c>
    </row>
    <row r="233" spans="2:3" ht="15" customHeight="1" x14ac:dyDescent="0.25">
      <c r="B233" s="11" t="s">
        <v>421</v>
      </c>
      <c r="C233" s="33">
        <f>D128*(1+D9)</f>
        <v>933252.32000000007</v>
      </c>
    </row>
    <row r="234" spans="2:3" ht="15" customHeight="1" x14ac:dyDescent="0.25">
      <c r="B234" s="11" t="s">
        <v>422</v>
      </c>
      <c r="C234" s="33">
        <f>D128*(1+D10)</f>
        <v>906331.58</v>
      </c>
    </row>
    <row r="236" spans="2:3" ht="15" customHeight="1" x14ac:dyDescent="0.25">
      <c r="B236" s="11" t="s">
        <v>423</v>
      </c>
      <c r="C236" s="33">
        <f>D127*(1+I7)</f>
        <v>870245</v>
      </c>
    </row>
    <row r="237" spans="2:3" ht="15" customHeight="1" x14ac:dyDescent="0.25">
      <c r="B237" s="11" t="s">
        <v>424</v>
      </c>
      <c r="C237" s="33">
        <f>D127*(1+I8)</f>
        <v>887649.9</v>
      </c>
    </row>
    <row r="238" spans="2:3" ht="15" customHeight="1" x14ac:dyDescent="0.25">
      <c r="B238" s="11" t="s">
        <v>425</v>
      </c>
      <c r="C238" s="33">
        <f>D127*(1+I9)</f>
        <v>852840.1</v>
      </c>
    </row>
    <row r="239" spans="2:3" ht="15" customHeight="1" x14ac:dyDescent="0.25">
      <c r="B239" s="11" t="s">
        <v>426</v>
      </c>
      <c r="C239" s="33">
        <f>D127*(1+I10)</f>
        <v>826732.75</v>
      </c>
    </row>
    <row r="241" spans="2:3" ht="15" customHeight="1" x14ac:dyDescent="0.25">
      <c r="B241" s="11" t="s">
        <v>427</v>
      </c>
      <c r="C241" s="33">
        <f>D130*(1+D7)</f>
        <v>157700.21</v>
      </c>
    </row>
    <row r="242" spans="2:3" ht="15" customHeight="1" x14ac:dyDescent="0.25">
      <c r="B242" s="11" t="s">
        <v>428</v>
      </c>
      <c r="C242" s="33">
        <f>D130*(1+D8)</f>
        <v>156169.14000000001</v>
      </c>
    </row>
    <row r="243" spans="2:3" ht="15" customHeight="1" x14ac:dyDescent="0.25">
      <c r="B243" s="11" t="s">
        <v>429</v>
      </c>
      <c r="C243" s="33">
        <f>D130*(1+D9)</f>
        <v>159231.28</v>
      </c>
    </row>
    <row r="244" spans="2:3" ht="15" customHeight="1" x14ac:dyDescent="0.25">
      <c r="B244" s="11" t="s">
        <v>430</v>
      </c>
      <c r="C244" s="33">
        <f>D130*(1+D10)</f>
        <v>154638.07</v>
      </c>
    </row>
    <row r="246" spans="2:3" ht="15" customHeight="1" x14ac:dyDescent="0.25">
      <c r="B246" s="11" t="s">
        <v>431</v>
      </c>
      <c r="C246" s="33">
        <f>C231*0.75+C241*0.2+D129*0.2+C236*$C$190</f>
        <v>860537.647</v>
      </c>
    </row>
    <row r="247" spans="2:3" ht="15" customHeight="1" x14ac:dyDescent="0.25">
      <c r="B247" s="11" t="s">
        <v>432</v>
      </c>
      <c r="C247" s="33">
        <f>C232*0.75+C242*0.2+D129*0.2+C237*$C$190</f>
        <v>856111.98300000001</v>
      </c>
    </row>
    <row r="248" spans="2:3" ht="15" customHeight="1" x14ac:dyDescent="0.25">
      <c r="B248" s="11" t="s">
        <v>433</v>
      </c>
      <c r="C248" s="33">
        <f>C233*0.75+C243*0.2+D129*0.2+C238*$C$190</f>
        <v>864963.3110000001</v>
      </c>
    </row>
    <row r="249" spans="2:3" ht="15" customHeight="1" x14ac:dyDescent="0.25">
      <c r="B249" s="11" t="s">
        <v>434</v>
      </c>
      <c r="C249" s="33">
        <f>C234*0.75+C244*0.2+D129*0.2+C239*$C$190</f>
        <v>839938.01149999991</v>
      </c>
    </row>
    <row r="251" spans="2:3" ht="15" customHeight="1" x14ac:dyDescent="0.25">
      <c r="B251" s="11" t="s">
        <v>435</v>
      </c>
      <c r="C251" s="19">
        <f ca="1">C226/C246</f>
        <v>0.15879655825400396</v>
      </c>
    </row>
    <row r="252" spans="2:3" ht="15" customHeight="1" x14ac:dyDescent="0.25">
      <c r="B252" s="11" t="s">
        <v>436</v>
      </c>
      <c r="C252" s="19">
        <f ca="1">C227/C247</f>
        <v>0.15897644341917927</v>
      </c>
    </row>
    <row r="253" spans="2:3" ht="15" customHeight="1" x14ac:dyDescent="0.25">
      <c r="B253" s="11" t="s">
        <v>437</v>
      </c>
      <c r="C253" s="19">
        <f ca="1">C228/C248</f>
        <v>0.1577781766647928</v>
      </c>
    </row>
    <row r="254" spans="2:3" ht="15" customHeight="1" x14ac:dyDescent="0.25">
      <c r="B254" s="11" t="s">
        <v>438</v>
      </c>
      <c r="C254" s="19">
        <f ca="1">C229/C249</f>
        <v>0.1601904334042151</v>
      </c>
    </row>
    <row r="256" spans="2:3" ht="15" customHeight="1" x14ac:dyDescent="0.25">
      <c r="B256" s="11" t="s">
        <v>439</v>
      </c>
      <c r="C256" s="24">
        <v>0.55000000000000004</v>
      </c>
    </row>
    <row r="258" spans="2:3" ht="15" customHeight="1" x14ac:dyDescent="0.25">
      <c r="B258" s="11" t="s">
        <v>440</v>
      </c>
      <c r="C258" s="24">
        <v>0.2</v>
      </c>
    </row>
    <row r="260" spans="2:3" ht="15" customHeight="1" x14ac:dyDescent="0.25">
      <c r="B260" s="11" t="s">
        <v>441</v>
      </c>
      <c r="C260" s="24">
        <f>CHOOSE($C$4,1.01,1.015,1.005,0.99)</f>
        <v>1.01</v>
      </c>
    </row>
    <row r="261" spans="2:3" ht="15" customHeight="1" collapsed="1" x14ac:dyDescent="0.25"/>
    <row r="262" spans="2:3" ht="15" customHeight="1" x14ac:dyDescent="0.25">
      <c r="B262" s="11" t="s">
        <v>442</v>
      </c>
    </row>
    <row r="263" spans="2:3" ht="15" customHeight="1" x14ac:dyDescent="0.25">
      <c r="B263" s="11" t="s">
        <v>443</v>
      </c>
      <c r="C263" s="41">
        <v>0.4</v>
      </c>
    </row>
    <row r="264" spans="2:3" ht="15" customHeight="1" x14ac:dyDescent="0.25">
      <c r="B264" s="11" t="s">
        <v>444</v>
      </c>
      <c r="C264" s="41">
        <v>0.3</v>
      </c>
    </row>
    <row r="265" spans="2:3" ht="15" customHeight="1" x14ac:dyDescent="0.25">
      <c r="B265" s="11" t="s">
        <v>445</v>
      </c>
      <c r="C265" s="41">
        <v>0.3</v>
      </c>
    </row>
    <row r="266" spans="2:3" ht="15" customHeight="1" x14ac:dyDescent="0.25">
      <c r="B266" s="11" t="s">
        <v>446</v>
      </c>
      <c r="C266" s="41">
        <v>0.05</v>
      </c>
    </row>
    <row r="267" spans="2:3" ht="15" customHeight="1" x14ac:dyDescent="0.25">
      <c r="B267" s="11" t="s">
        <v>447</v>
      </c>
      <c r="C267" s="41">
        <v>0.1</v>
      </c>
    </row>
    <row r="268" spans="2:3" ht="15" customHeight="1" x14ac:dyDescent="0.25">
      <c r="B268" s="11" t="s">
        <v>448</v>
      </c>
      <c r="C268" s="41">
        <v>0.85</v>
      </c>
    </row>
    <row r="269" spans="2:3" ht="15" customHeight="1" x14ac:dyDescent="0.25">
      <c r="B269" s="11" t="s">
        <v>449</v>
      </c>
      <c r="C269" s="42">
        <f>C263*C266+C264*C267+C265*C268</f>
        <v>0.30499999999999999</v>
      </c>
    </row>
  </sheetData>
  <mergeCells count="15">
    <mergeCell ref="B167:D167"/>
    <mergeCell ref="B220:E220"/>
    <mergeCell ref="B3:H3"/>
    <mergeCell ref="D4:H4"/>
    <mergeCell ref="C105:G105"/>
    <mergeCell ref="C106:G106"/>
    <mergeCell ref="C107:G107"/>
    <mergeCell ref="B124:H124"/>
    <mergeCell ref="B134:H134"/>
    <mergeCell ref="B148:H148"/>
    <mergeCell ref="C108:G108"/>
    <mergeCell ref="C109:G109"/>
    <mergeCell ref="C110:G110"/>
    <mergeCell ref="B113:H113"/>
    <mergeCell ref="B115:H115"/>
  </mergeCells>
  <pageMargins left="6.9444444444444441E-3" right="6.9444444444444441E-3" top="6.9444444444444441E-3" bottom="6.9444444444444441E-3" header="0.511811023622047" footer="0.511811023622047"/>
  <pageSetup paperSize="9" scale="6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  <pageSetUpPr fitToPage="1"/>
  </sheetPr>
  <dimension ref="A1:M44"/>
  <sheetViews>
    <sheetView tabSelected="1" zoomScale="59" zoomScaleNormal="100" workbookViewId="0">
      <selection activeCell="B40" sqref="B40"/>
    </sheetView>
  </sheetViews>
  <sheetFormatPr defaultColWidth="8.7109375" defaultRowHeight="15" x14ac:dyDescent="0.25"/>
  <cols>
    <col min="1" max="1" width="24.7109375" customWidth="1"/>
    <col min="2" max="13" width="16.140625" customWidth="1"/>
  </cols>
  <sheetData>
    <row r="1" spans="1:13" ht="27.95" customHeight="1" x14ac:dyDescent="0.25">
      <c r="A1" s="299" t="s">
        <v>450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</row>
    <row r="2" spans="1:13" ht="15" customHeight="1" x14ac:dyDescent="0.25">
      <c r="A2" s="300" t="s">
        <v>451</v>
      </c>
      <c r="B2" s="300"/>
      <c r="C2" s="300"/>
    </row>
    <row r="3" spans="1:13" ht="20.25" customHeight="1" x14ac:dyDescent="0.25">
      <c r="A3" s="202" t="s">
        <v>170</v>
      </c>
      <c r="B3" s="202" t="s">
        <v>452</v>
      </c>
      <c r="C3" s="202" t="s">
        <v>171</v>
      </c>
    </row>
    <row r="4" spans="1:13" ht="15" customHeight="1" x14ac:dyDescent="0.25">
      <c r="A4" s="193" t="s">
        <v>172</v>
      </c>
      <c r="B4" s="163">
        <f>Engine!E14</f>
        <v>2.2499999999999999E-2</v>
      </c>
      <c r="C4" s="196" t="s">
        <v>453</v>
      </c>
    </row>
    <row r="5" spans="1:13" ht="15" customHeight="1" x14ac:dyDescent="0.25">
      <c r="A5" s="193" t="s">
        <v>174</v>
      </c>
      <c r="B5" s="163">
        <f>Engine!E15</f>
        <v>2.35E-2</v>
      </c>
      <c r="C5" s="196" t="s">
        <v>454</v>
      </c>
    </row>
    <row r="6" spans="1:13" ht="15" customHeight="1" x14ac:dyDescent="0.25">
      <c r="A6" s="193" t="s">
        <v>455</v>
      </c>
      <c r="B6" s="163">
        <f>Engine!E16</f>
        <v>2.7E-2</v>
      </c>
      <c r="C6" s="196" t="s">
        <v>456</v>
      </c>
    </row>
    <row r="7" spans="1:13" ht="15" customHeight="1" x14ac:dyDescent="0.25">
      <c r="A7" s="193" t="s">
        <v>457</v>
      </c>
      <c r="B7" s="163">
        <f>Engine!E17</f>
        <v>2.5499999999999998E-2</v>
      </c>
      <c r="C7" s="196" t="s">
        <v>458</v>
      </c>
    </row>
    <row r="9" spans="1:13" ht="15" customHeight="1" x14ac:dyDescent="0.25">
      <c r="A9" s="300" t="s">
        <v>459</v>
      </c>
      <c r="B9" s="300"/>
      <c r="C9" s="300"/>
      <c r="D9" s="300"/>
      <c r="E9" s="300"/>
    </row>
    <row r="10" spans="1:13" ht="20.25" customHeight="1" x14ac:dyDescent="0.25">
      <c r="A10" s="202" t="s">
        <v>460</v>
      </c>
      <c r="B10" s="202" t="s">
        <v>461</v>
      </c>
      <c r="C10" s="202" t="s">
        <v>462</v>
      </c>
      <c r="D10" s="202" t="s">
        <v>463</v>
      </c>
      <c r="E10" s="202" t="s">
        <v>464</v>
      </c>
    </row>
    <row r="11" spans="1:13" ht="15" customHeight="1" x14ac:dyDescent="0.25">
      <c r="A11" s="194">
        <v>1</v>
      </c>
      <c r="B11" s="201">
        <f>Engine!E15+(A11-0.25)/4.75*(Engine!E16-Engine!E15)</f>
        <v>2.4052631578947367E-2</v>
      </c>
      <c r="C11" s="192">
        <f>1/(1+B11)</f>
        <v>0.97651230919463439</v>
      </c>
      <c r="D11" s="198">
        <f t="shared" ref="D11:D20" si="0">(1/C11-1)/A11</f>
        <v>2.4052631578947326E-2</v>
      </c>
      <c r="E11" s="196" t="s">
        <v>465</v>
      </c>
    </row>
    <row r="12" spans="1:13" ht="15" customHeight="1" x14ac:dyDescent="0.25">
      <c r="A12" s="188">
        <v>2</v>
      </c>
      <c r="B12" s="189">
        <f>Engine!E15+(A12-0.25)/4.75*(Engine!E16-Engine!E15)</f>
        <v>2.4789473684210528E-2</v>
      </c>
      <c r="C12" s="190">
        <f>(1-B12*SUM(C$11:C11))/(1+B12)</f>
        <v>0.95218852151247124</v>
      </c>
      <c r="D12" s="191">
        <f t="shared" si="0"/>
        <v>2.5106098953799783E-2</v>
      </c>
      <c r="E12" s="196" t="s">
        <v>466</v>
      </c>
    </row>
    <row r="13" spans="1:13" ht="15" customHeight="1" x14ac:dyDescent="0.25">
      <c r="A13" s="194">
        <v>3</v>
      </c>
      <c r="B13" s="201">
        <f>Engine!E15+(A13-0.25)/4.75*(Engine!E16-Engine!E15)</f>
        <v>2.5526315789473685E-2</v>
      </c>
      <c r="C13" s="192">
        <f>(1-B13*SUM(C$11:C12))/(1+B13)</f>
        <v>0.92710187821950496</v>
      </c>
      <c r="D13" s="198">
        <f t="shared" si="0"/>
        <v>2.6210036348430776E-2</v>
      </c>
      <c r="E13" s="196" t="s">
        <v>467</v>
      </c>
    </row>
    <row r="14" spans="1:13" ht="15" customHeight="1" x14ac:dyDescent="0.25">
      <c r="A14" s="188">
        <v>4</v>
      </c>
      <c r="B14" s="189">
        <f>Engine!E15+(A14-0.25)/4.75*(Engine!E16-Engine!E15)</f>
        <v>2.6263157894736842E-2</v>
      </c>
      <c r="C14" s="190">
        <f>(1-B14*SUM(C$11:C13))/(1+B14)</f>
        <v>0.90132593713757747</v>
      </c>
      <c r="D14" s="191">
        <f t="shared" si="0"/>
        <v>2.7369139951689048E-2</v>
      </c>
      <c r="E14" s="196" t="s">
        <v>468</v>
      </c>
    </row>
    <row r="15" spans="1:13" ht="15" customHeight="1" x14ac:dyDescent="0.25">
      <c r="A15" s="194">
        <v>5</v>
      </c>
      <c r="B15" s="201">
        <f>Engine!E15+(A15-0.25)/4.75*(Engine!E16-Engine!E15)</f>
        <v>2.7E-2</v>
      </c>
      <c r="C15" s="192">
        <f>(1-B15*SUM(C$11:C14))/(1+B15)</f>
        <v>0.87493430044427167</v>
      </c>
      <c r="D15" s="198">
        <f t="shared" si="0"/>
        <v>2.8588592193087604E-2</v>
      </c>
      <c r="E15" s="196" t="s">
        <v>469</v>
      </c>
    </row>
    <row r="16" spans="1:13" ht="15" customHeight="1" x14ac:dyDescent="0.25">
      <c r="A16" s="188">
        <v>6</v>
      </c>
      <c r="B16" s="189">
        <f>Engine!E16+(A16-5)/5*(Engine!E17-Engine!E16)</f>
        <v>2.6699999999999998E-2</v>
      </c>
      <c r="C16" s="190">
        <f>(1-B16*SUM(C$11:C15))/(1+B16)</f>
        <v>0.85353454692531827</v>
      </c>
      <c r="D16" s="191">
        <f t="shared" si="0"/>
        <v>2.8599790053859597E-2</v>
      </c>
      <c r="E16" s="196" t="s">
        <v>470</v>
      </c>
    </row>
    <row r="17" spans="1:13" ht="15" customHeight="1" x14ac:dyDescent="0.25">
      <c r="A17" s="194">
        <v>7</v>
      </c>
      <c r="B17" s="201">
        <f>Engine!E16+(A17-5)/5*(Engine!E17-Engine!E16)</f>
        <v>2.64E-2</v>
      </c>
      <c r="C17" s="192">
        <f>(1-B17*SUM(C$11:C16))/(1+B17)</f>
        <v>0.83318416423747887</v>
      </c>
      <c r="D17" s="198">
        <f t="shared" si="0"/>
        <v>2.8602120279338093E-2</v>
      </c>
      <c r="E17" s="196" t="s">
        <v>471</v>
      </c>
    </row>
    <row r="18" spans="1:13" ht="15" customHeight="1" x14ac:dyDescent="0.25">
      <c r="A18" s="188">
        <v>8</v>
      </c>
      <c r="B18" s="189">
        <f>Engine!E16+(A18-5)/5*(Engine!E17-Engine!E16)</f>
        <v>2.6099999999999998E-2</v>
      </c>
      <c r="C18" s="190">
        <f>(1-B18*SUM(C$11:C17))/(1+B18)</f>
        <v>0.81383861098799359</v>
      </c>
      <c r="D18" s="191">
        <f t="shared" si="0"/>
        <v>2.8593105945478536E-2</v>
      </c>
      <c r="E18" s="196" t="s">
        <v>472</v>
      </c>
    </row>
    <row r="19" spans="1:13" ht="15" customHeight="1" x14ac:dyDescent="0.25">
      <c r="A19" s="194">
        <v>9</v>
      </c>
      <c r="B19" s="201">
        <f>Engine!E16+(A19-5)/5*(Engine!E17-Engine!E16)</f>
        <v>2.58E-2</v>
      </c>
      <c r="C19" s="192">
        <f>(1-B19*SUM(C$11:C18))/(1+B19)</f>
        <v>0.7954556415174413</v>
      </c>
      <c r="D19" s="198">
        <f t="shared" si="0"/>
        <v>2.8571236102055093E-2</v>
      </c>
      <c r="E19" s="196" t="s">
        <v>473</v>
      </c>
    </row>
    <row r="20" spans="1:13" ht="15" customHeight="1" x14ac:dyDescent="0.25">
      <c r="A20" s="188">
        <v>10</v>
      </c>
      <c r="B20" s="189">
        <f>Engine!E16+(A20-5)/5*(Engine!E17-Engine!E16)</f>
        <v>2.5499999999999998E-2</v>
      </c>
      <c r="C20" s="190">
        <f>(1-B20*SUM(C$11:C19))/(1+B20)</f>
        <v>0.77799518702144743</v>
      </c>
      <c r="D20" s="191">
        <f t="shared" si="0"/>
        <v>2.8535499535478803E-2</v>
      </c>
      <c r="E20" s="196" t="s">
        <v>474</v>
      </c>
    </row>
    <row r="22" spans="1:13" ht="15" customHeight="1" x14ac:dyDescent="0.25">
      <c r="A22" s="300" t="s">
        <v>475</v>
      </c>
      <c r="B22" s="300"/>
      <c r="C22" s="300"/>
      <c r="D22" s="300"/>
      <c r="E22" s="300"/>
      <c r="F22" s="300"/>
      <c r="G22" s="300"/>
      <c r="H22" s="300"/>
      <c r="I22" s="300"/>
      <c r="J22" s="300"/>
      <c r="K22" s="300"/>
      <c r="L22" s="300"/>
      <c r="M22" s="300"/>
    </row>
    <row r="23" spans="1:13" ht="15" customHeight="1" x14ac:dyDescent="0.25">
      <c r="A23" s="170"/>
      <c r="B23" s="170"/>
      <c r="C23" s="301" t="s">
        <v>476</v>
      </c>
      <c r="D23" s="301"/>
      <c r="E23" s="301"/>
      <c r="F23" s="301" t="s">
        <v>477</v>
      </c>
      <c r="G23" s="301"/>
      <c r="H23" s="301" t="s">
        <v>478</v>
      </c>
      <c r="I23" s="301"/>
      <c r="J23" s="301" t="s">
        <v>479</v>
      </c>
      <c r="K23" s="301"/>
      <c r="L23" s="301" t="s">
        <v>480</v>
      </c>
      <c r="M23" s="301"/>
    </row>
    <row r="24" spans="1:13" ht="15" customHeight="1" x14ac:dyDescent="0.25">
      <c r="A24" s="202" t="s">
        <v>481</v>
      </c>
      <c r="B24" s="202" t="s">
        <v>482</v>
      </c>
      <c r="C24" s="202" t="s">
        <v>463</v>
      </c>
      <c r="D24" s="202" t="s">
        <v>483</v>
      </c>
      <c r="E24" s="202" t="s">
        <v>484</v>
      </c>
      <c r="F24" s="202" t="s">
        <v>463</v>
      </c>
      <c r="G24" s="202" t="s">
        <v>483</v>
      </c>
      <c r="H24" s="202" t="s">
        <v>463</v>
      </c>
      <c r="I24" s="202" t="s">
        <v>483</v>
      </c>
      <c r="J24" s="202" t="s">
        <v>463</v>
      </c>
      <c r="K24" s="202" t="s">
        <v>483</v>
      </c>
      <c r="L24" s="202" t="s">
        <v>463</v>
      </c>
      <c r="M24" s="202" t="s">
        <v>483</v>
      </c>
    </row>
    <row r="25" spans="1:13" ht="15" customHeight="1" x14ac:dyDescent="0.25">
      <c r="A25" s="43" t="s">
        <v>485</v>
      </c>
      <c r="B25" s="195">
        <f>1/365</f>
        <v>2.7397260273972603E-3</v>
      </c>
      <c r="C25" s="163">
        <f>Engine!E14</f>
        <v>2.2499999999999999E-2</v>
      </c>
      <c r="D25" s="199">
        <f t="shared" ref="D25:D31" si="1">1/(1+C25*B25)</f>
        <v>0.99993835996411173</v>
      </c>
      <c r="E25" s="198">
        <f t="shared" ref="E25:E29" si="2">(D25/D26-1)/(B26-B25)</f>
        <v>2.3509631108574638E-2</v>
      </c>
      <c r="F25" s="198">
        <f>C25+Engine!$C$45/10000</f>
        <v>4.2499999999999996E-2</v>
      </c>
      <c r="G25" s="199">
        <f t="shared" ref="G25:G31" si="3">1/(1+F25*B25)</f>
        <v>0.99988357520014781</v>
      </c>
      <c r="H25" s="198">
        <f>C25+Engine!$C$46/10000</f>
        <v>2.4999999999999988E-3</v>
      </c>
      <c r="I25" s="199">
        <f t="shared" ref="I25:I31" si="4">1/(1+H25*B25)</f>
        <v>0.99999315073184436</v>
      </c>
      <c r="J25" s="198">
        <f>C25+Engine!$C$47/10000*(1-2*B25/10)</f>
        <v>3.1495068493150688E-2</v>
      </c>
      <c r="K25" s="199">
        <f t="shared" ref="K25:K31" si="5">1/(1+J25*B25)</f>
        <v>0.99991371958606678</v>
      </c>
      <c r="L25" s="198">
        <f>C25+Engine!$C$48/10000*(1-2*B25/10)</f>
        <v>1.3504931506849314E-2</v>
      </c>
      <c r="M25" s="199">
        <f t="shared" ref="M25:M31" si="6">1/(1+L25*B25)</f>
        <v>0.9999630015565879</v>
      </c>
    </row>
    <row r="26" spans="1:13" ht="15" customHeight="1" x14ac:dyDescent="0.25">
      <c r="A26" s="187" t="s">
        <v>486</v>
      </c>
      <c r="B26" s="195">
        <f>1/4</f>
        <v>0.25</v>
      </c>
      <c r="C26" s="163">
        <f>Engine!E15</f>
        <v>2.35E-2</v>
      </c>
      <c r="D26" s="199">
        <f t="shared" si="1"/>
        <v>0.99415931403007329</v>
      </c>
      <c r="E26" s="198">
        <f t="shared" si="2"/>
        <v>2.3729013100664886E-2</v>
      </c>
      <c r="F26" s="198">
        <f>C26+Engine!$C$45/10000</f>
        <v>4.3499999999999997E-2</v>
      </c>
      <c r="G26" s="199">
        <f t="shared" si="3"/>
        <v>0.98924199332261653</v>
      </c>
      <c r="H26" s="198">
        <f>C26+Engine!$C$46/10000</f>
        <v>3.4999999999999996E-3</v>
      </c>
      <c r="I26" s="199">
        <f t="shared" si="4"/>
        <v>0.99912576495566385</v>
      </c>
      <c r="J26" s="198">
        <f>C26+Engine!$C$47/10000*(1-2*B26/10)</f>
        <v>3.2049999999999995E-2</v>
      </c>
      <c r="K26" s="199">
        <f t="shared" si="5"/>
        <v>0.99205118984139584</v>
      </c>
      <c r="L26" s="198">
        <f>C26+Engine!$C$48/10000*(1-2*B26/10)</f>
        <v>1.4950000000000001E-2</v>
      </c>
      <c r="M26" s="199">
        <f t="shared" si="6"/>
        <v>0.99627641689186675</v>
      </c>
    </row>
    <row r="27" spans="1:13" ht="15" customHeight="1" x14ac:dyDescent="0.25">
      <c r="A27" s="43" t="s">
        <v>487</v>
      </c>
      <c r="B27" s="195">
        <f>1/2</f>
        <v>0.5</v>
      </c>
      <c r="C27" s="197">
        <f>C26+(B27-B26)/(B28-B26)*(C28-C26)</f>
        <v>2.3684210526315776E-2</v>
      </c>
      <c r="D27" s="199">
        <f t="shared" si="1"/>
        <v>0.98829648894668398</v>
      </c>
      <c r="E27" s="198">
        <f t="shared" si="2"/>
        <v>2.4135240572171313E-2</v>
      </c>
      <c r="F27" s="198">
        <f>C27+Engine!$C$45/10000</f>
        <v>4.3684210526315777E-2</v>
      </c>
      <c r="G27" s="199">
        <f t="shared" si="3"/>
        <v>0.97862477465876896</v>
      </c>
      <c r="H27" s="198">
        <f>C27+Engine!$C$46/10000</f>
        <v>3.6842105263157759E-3</v>
      </c>
      <c r="I27" s="199">
        <f t="shared" si="4"/>
        <v>0.99816128184922515</v>
      </c>
      <c r="J27" s="198">
        <f>C27+Engine!$C$47/10000*(1-2*B27/10)</f>
        <v>3.1784210526315776E-2</v>
      </c>
      <c r="K27" s="199">
        <f t="shared" si="5"/>
        <v>0.98435650284038656</v>
      </c>
      <c r="L27" s="198">
        <f>C27+Engine!$C$48/10000*(1-2*B27/10)</f>
        <v>1.5584210526315777E-2</v>
      </c>
      <c r="M27" s="199">
        <f t="shared" si="6"/>
        <v>0.99226814218680226</v>
      </c>
    </row>
    <row r="28" spans="1:13" ht="15" customHeight="1" x14ac:dyDescent="0.25">
      <c r="A28" s="187" t="s">
        <v>488</v>
      </c>
      <c r="B28" s="195">
        <f>1</f>
        <v>1</v>
      </c>
      <c r="C28" s="197">
        <f>D11</f>
        <v>2.4052631578947326E-2</v>
      </c>
      <c r="D28" s="199">
        <f t="shared" si="1"/>
        <v>0.97651230919463439</v>
      </c>
      <c r="E28" s="198">
        <f t="shared" si="2"/>
        <v>2.5545138523122457E-2</v>
      </c>
      <c r="F28" s="198">
        <f>C28+Engine!$C$45/10000</f>
        <v>4.4052631578947329E-2</v>
      </c>
      <c r="G28" s="199">
        <f t="shared" si="3"/>
        <v>0.9578061198769976</v>
      </c>
      <c r="H28" s="198">
        <f>C28+Engine!$C$46/10000</f>
        <v>4.0526315789473251E-3</v>
      </c>
      <c r="I28" s="199">
        <f t="shared" si="4"/>
        <v>0.99596372595271798</v>
      </c>
      <c r="J28" s="198">
        <f>C28+Engine!$C$47/10000*(1-2*B28/10)</f>
        <v>3.1252631578947324E-2</v>
      </c>
      <c r="K28" s="199">
        <f t="shared" si="5"/>
        <v>0.96969449519746043</v>
      </c>
      <c r="L28" s="198">
        <f>C28+Engine!$C$48/10000*(1-2*B28/10)</f>
        <v>1.6852631578947327E-2</v>
      </c>
      <c r="M28" s="199">
        <f t="shared" si="6"/>
        <v>0.983426672601733</v>
      </c>
    </row>
    <row r="29" spans="1:13" ht="15" customHeight="1" x14ac:dyDescent="0.25">
      <c r="A29" s="43" t="s">
        <v>489</v>
      </c>
      <c r="B29" s="195">
        <f>2</f>
        <v>2</v>
      </c>
      <c r="C29" s="197">
        <f>D12</f>
        <v>2.5106098953799783E-2</v>
      </c>
      <c r="D29" s="199">
        <f t="shared" si="1"/>
        <v>0.95218852151247113</v>
      </c>
      <c r="E29" s="198">
        <f t="shared" si="2"/>
        <v>2.9432389391588803E-2</v>
      </c>
      <c r="F29" s="198">
        <f>C29+Engine!$C$45/10000</f>
        <v>4.5106098953799786E-2</v>
      </c>
      <c r="G29" s="199">
        <f t="shared" si="3"/>
        <v>0.91725262469018398</v>
      </c>
      <c r="H29" s="198">
        <f>C29+Engine!$C$46/10000</f>
        <v>5.1060989537997821E-3</v>
      </c>
      <c r="I29" s="199">
        <f t="shared" si="4"/>
        <v>0.98989103682498436</v>
      </c>
      <c r="J29" s="198">
        <f>C29+Engine!$C$47/10000*(1-2*B29/10)</f>
        <v>3.0506098953799781E-2</v>
      </c>
      <c r="K29" s="199">
        <f t="shared" si="5"/>
        <v>0.94249623328749621</v>
      </c>
      <c r="L29" s="198">
        <f>C29+Engine!$C$48/10000*(1-2*B29/10)</f>
        <v>1.9706098953799784E-2</v>
      </c>
      <c r="M29" s="199">
        <f t="shared" si="6"/>
        <v>0.96208222494700479</v>
      </c>
    </row>
    <row r="30" spans="1:13" ht="15" customHeight="1" x14ac:dyDescent="0.25">
      <c r="A30" s="187" t="s">
        <v>490</v>
      </c>
      <c r="B30" s="195">
        <f>5</f>
        <v>5</v>
      </c>
      <c r="C30" s="197">
        <f>D15</f>
        <v>2.8588592193087604E-2</v>
      </c>
      <c r="D30" s="199">
        <f t="shared" si="1"/>
        <v>0.87493430044427167</v>
      </c>
      <c r="E30" s="198">
        <f>(D30/D31-1)/(B31-B30)</f>
        <v>2.4920234736658296E-2</v>
      </c>
      <c r="F30" s="198">
        <f>C30+Engine!$C$45/10000</f>
        <v>4.8588592193087601E-2</v>
      </c>
      <c r="G30" s="199">
        <f t="shared" si="3"/>
        <v>0.80454214827626869</v>
      </c>
      <c r="H30" s="198">
        <f>C30+Engine!$C$46/10000</f>
        <v>8.588592193087604E-3</v>
      </c>
      <c r="I30" s="199">
        <f t="shared" si="4"/>
        <v>0.95882520658110948</v>
      </c>
      <c r="J30" s="198">
        <f>C30+Engine!$C$47/10000*(1-2*B30/10)</f>
        <v>2.8588592193087604E-2</v>
      </c>
      <c r="K30" s="199">
        <f t="shared" si="5"/>
        <v>0.87493430044427167</v>
      </c>
      <c r="L30" s="198">
        <f>C30+Engine!$C$48/10000*(1-2*B30/10)</f>
        <v>2.8588592193087604E-2</v>
      </c>
      <c r="M30" s="199">
        <f t="shared" si="6"/>
        <v>0.87493430044427167</v>
      </c>
    </row>
    <row r="31" spans="1:13" ht="15" customHeight="1" x14ac:dyDescent="0.25">
      <c r="A31" s="43" t="s">
        <v>491</v>
      </c>
      <c r="B31" s="195">
        <f>10</f>
        <v>10</v>
      </c>
      <c r="C31" s="197">
        <f>D20</f>
        <v>2.8535499535478803E-2</v>
      </c>
      <c r="D31" s="199">
        <f t="shared" si="1"/>
        <v>0.77799518702144743</v>
      </c>
      <c r="E31" s="198">
        <f t="shared" ref="E31:E36" si="7">(D31/D32-1)/(B32-B31)</f>
        <v>2.2975852369477651E-2</v>
      </c>
      <c r="F31" s="198">
        <f>C31+Engine!$C$45/10000</f>
        <v>4.8535499535478803E-2</v>
      </c>
      <c r="G31" s="199">
        <f t="shared" si="3"/>
        <v>0.67323973267491022</v>
      </c>
      <c r="H31" s="198">
        <f>C31+Engine!$C$46/10000</f>
        <v>8.5354995354788021E-3</v>
      </c>
      <c r="I31" s="199">
        <f t="shared" si="4"/>
        <v>0.92135753212534244</v>
      </c>
      <c r="J31" s="198">
        <f>C31+Engine!$C$47/10000*(1-2*B31/10)</f>
        <v>1.9535499535478805E-2</v>
      </c>
      <c r="K31" s="199">
        <f t="shared" si="5"/>
        <v>0.83657156567383939</v>
      </c>
      <c r="L31" s="198">
        <f>C31+Engine!$C$48/10000*(1-2*B31/10)</f>
        <v>3.75354995354788E-2</v>
      </c>
      <c r="M31" s="199">
        <f t="shared" si="6"/>
        <v>0.72708500959931355</v>
      </c>
    </row>
    <row r="32" spans="1:13" x14ac:dyDescent="0.25">
      <c r="A32" s="187" t="s">
        <v>814</v>
      </c>
      <c r="B32" s="195">
        <f>3</f>
        <v>3</v>
      </c>
      <c r="C32" s="197">
        <f>D13</f>
        <v>2.6210036348430776E-2</v>
      </c>
      <c r="D32" s="199">
        <f t="shared" ref="D32:D37" si="8">1/(1+C32*B32)</f>
        <v>0.92710187821950496</v>
      </c>
      <c r="E32" s="198">
        <f t="shared" si="7"/>
        <v>2.8597802437358544E-2</v>
      </c>
      <c r="F32" s="198">
        <f>C32+Engine!$C$45/10000</f>
        <v>4.621003634843078E-2</v>
      </c>
      <c r="G32" s="199">
        <f t="shared" ref="G32:G37" si="9">1/(1+F32*B32)</f>
        <v>0.87824833723962414</v>
      </c>
      <c r="H32" s="198">
        <f>C32+Engine!$C$46/10000</f>
        <v>6.2100363484307759E-3</v>
      </c>
      <c r="I32" s="199">
        <f t="shared" ref="I32:I37" si="10">1/(1+H32*B32)</f>
        <v>0.98171062402351994</v>
      </c>
      <c r="J32" s="198">
        <f>C32+Engine!$C$47/10000*(1-2*B32/10)</f>
        <v>2.9810036348430775E-2</v>
      </c>
      <c r="K32" s="199">
        <f t="shared" ref="K32:K37" si="11">1/(1+J32*B32)</f>
        <v>0.91791110939309073</v>
      </c>
      <c r="L32" s="198">
        <f>C32+Engine!$C$48/10000*(1-2*B32/10)</f>
        <v>2.2610036348430777E-2</v>
      </c>
      <c r="M32" s="199">
        <f t="shared" ref="M32:M37" si="12">1/(1+L32*B32)</f>
        <v>0.93647855733723706</v>
      </c>
    </row>
    <row r="33" spans="1:13" x14ac:dyDescent="0.25">
      <c r="A33" s="43" t="s">
        <v>815</v>
      </c>
      <c r="B33" s="195">
        <f>4</f>
        <v>4</v>
      </c>
      <c r="C33" s="197">
        <f>D14</f>
        <v>2.7369139951689048E-2</v>
      </c>
      <c r="D33" s="199">
        <f t="shared" si="8"/>
        <v>0.90132593713757747</v>
      </c>
      <c r="E33" s="198">
        <f t="shared" si="7"/>
        <v>2.7996166285487623E-2</v>
      </c>
      <c r="F33" s="198">
        <f>C33+Engine!$C$45/10000</f>
        <v>4.7369139951689052E-2</v>
      </c>
      <c r="G33" s="199">
        <f t="shared" si="9"/>
        <v>0.84070593216436407</v>
      </c>
      <c r="H33" s="198">
        <f>C33+Engine!$C$46/10000</f>
        <v>7.3691399516890473E-3</v>
      </c>
      <c r="I33" s="199">
        <f t="shared" si="10"/>
        <v>0.97136742985941404</v>
      </c>
      <c r="J33" s="198">
        <f>C33+Engine!$C$47/10000*(1-2*B33/10)</f>
        <v>2.9169139951689047E-2</v>
      </c>
      <c r="K33" s="199">
        <f t="shared" si="11"/>
        <v>0.89551445422392728</v>
      </c>
      <c r="L33" s="198">
        <f>C33+Engine!$C$48/10000*(1-2*B33/10)</f>
        <v>2.5569139951689048E-2</v>
      </c>
      <c r="M33" s="199">
        <f t="shared" si="12"/>
        <v>0.90721334052074321</v>
      </c>
    </row>
    <row r="34" spans="1:13" x14ac:dyDescent="0.25">
      <c r="A34" s="187" t="s">
        <v>816</v>
      </c>
      <c r="B34" s="195">
        <f>6</f>
        <v>6</v>
      </c>
      <c r="C34" s="197">
        <f>D16</f>
        <v>2.8599790053859597E-2</v>
      </c>
      <c r="D34" s="199">
        <f t="shared" si="8"/>
        <v>0.85353454692531838</v>
      </c>
      <c r="E34" s="198">
        <f t="shared" si="7"/>
        <v>2.4424831341416597E-2</v>
      </c>
      <c r="F34" s="198">
        <f>C34+Engine!$C$45/10000</f>
        <v>4.8599790053859601E-2</v>
      </c>
      <c r="G34" s="199">
        <f t="shared" si="9"/>
        <v>0.77423426392456873</v>
      </c>
      <c r="H34" s="198">
        <f>C34+Engine!$C$46/10000</f>
        <v>8.5997900538595969E-3</v>
      </c>
      <c r="I34" s="199">
        <f t="shared" si="10"/>
        <v>0.95093305236624659</v>
      </c>
      <c r="J34" s="198">
        <f>C34+Engine!$C$47/10000*(1-2*B34/10)</f>
        <v>2.6799790053859598E-2</v>
      </c>
      <c r="K34" s="199">
        <f t="shared" si="11"/>
        <v>0.86147577979073919</v>
      </c>
      <c r="L34" s="198">
        <f>C34+Engine!$C$48/10000*(1-2*B34/10)</f>
        <v>3.0399790053859597E-2</v>
      </c>
      <c r="M34" s="199">
        <f t="shared" si="12"/>
        <v>0.84573838409764657</v>
      </c>
    </row>
    <row r="35" spans="1:13" x14ac:dyDescent="0.25">
      <c r="A35" s="43" t="s">
        <v>817</v>
      </c>
      <c r="B35" s="195">
        <f>7</f>
        <v>7</v>
      </c>
      <c r="C35" s="197">
        <f>D17</f>
        <v>2.8602120279338093E-2</v>
      </c>
      <c r="D35" s="199">
        <f t="shared" si="8"/>
        <v>0.83318416423747887</v>
      </c>
      <c r="E35" s="198">
        <f t="shared" si="7"/>
        <v>2.3770748878576775E-2</v>
      </c>
      <c r="F35" s="198">
        <f>C35+Engine!$C$45/10000</f>
        <v>4.8602120279338093E-2</v>
      </c>
      <c r="G35" s="199">
        <f t="shared" si="9"/>
        <v>0.74614902677917294</v>
      </c>
      <c r="H35" s="198">
        <f>C35+Engine!$C$46/10000</f>
        <v>8.6021202793380921E-3</v>
      </c>
      <c r="I35" s="199">
        <f t="shared" si="10"/>
        <v>0.94320505658616149</v>
      </c>
      <c r="J35" s="198">
        <f>C35+Engine!$C$47/10000*(1-2*B35/10)</f>
        <v>2.5002120279338094E-2</v>
      </c>
      <c r="K35" s="199">
        <f t="shared" si="11"/>
        <v>0.8510530797516388</v>
      </c>
      <c r="L35" s="198">
        <f>C35+Engine!$C$48/10000*(1-2*B35/10)</f>
        <v>3.2202120279338095E-2</v>
      </c>
      <c r="M35" s="199">
        <f t="shared" si="12"/>
        <v>0.81605017808036562</v>
      </c>
    </row>
    <row r="36" spans="1:13" x14ac:dyDescent="0.25">
      <c r="A36" s="187" t="s">
        <v>818</v>
      </c>
      <c r="B36" s="195">
        <f>8</f>
        <v>8</v>
      </c>
      <c r="C36" s="197">
        <f>D18</f>
        <v>2.8593105945478536E-2</v>
      </c>
      <c r="D36" s="199">
        <f t="shared" si="8"/>
        <v>0.81383861098799359</v>
      </c>
      <c r="E36" s="198" t="e">
        <f t="shared" si="7"/>
        <v>#VALUE!</v>
      </c>
      <c r="F36" s="198">
        <f>C36+Engine!$C$45/10000</f>
        <v>4.859310594547854E-2</v>
      </c>
      <c r="G36" s="199">
        <f t="shared" si="9"/>
        <v>0.72007467876782794</v>
      </c>
      <c r="H36" s="198">
        <f>C36+Engine!$C$46/10000</f>
        <v>8.5931059454785359E-3</v>
      </c>
      <c r="I36" s="199">
        <f t="shared" si="10"/>
        <v>0.93567702551218823</v>
      </c>
      <c r="J36" s="198">
        <f>C36+Engine!$C$47/10000*(1-2*B36/10)</f>
        <v>2.3193105945478534E-2</v>
      </c>
      <c r="K36" s="199">
        <f t="shared" si="11"/>
        <v>0.84349402897317327</v>
      </c>
      <c r="L36" s="198">
        <f>C36+Engine!$C$48/10000*(1-2*B36/10)</f>
        <v>3.3993105945478538E-2</v>
      </c>
      <c r="M36" s="199">
        <f t="shared" si="12"/>
        <v>0.78619761062385074</v>
      </c>
    </row>
    <row r="37" spans="1:13" x14ac:dyDescent="0.25">
      <c r="A37" s="43" t="s">
        <v>819</v>
      </c>
      <c r="B37" s="195" t="str">
        <f>"Model "&amp;Engine!C103&amp;"  |  Last updated: "&amp;TEXT(Engine!C111,"DD-MMM-YYYY")&amp;"  |  Prepared by: "&amp;Engine!F111</f>
        <v>Model v10  |  Last updated: 15-May-2026  |  Prepared by: Hossam Eltarrass</v>
      </c>
      <c r="C37" s="197">
        <f>D19</f>
        <v>2.8571236102055093E-2</v>
      </c>
      <c r="D37" s="199" t="e">
        <f t="shared" si="8"/>
        <v>#VALUE!</v>
      </c>
      <c r="E37" s="198"/>
      <c r="F37" s="198">
        <f>C37+Engine!$C$45/10000</f>
        <v>4.857123610205509E-2</v>
      </c>
      <c r="G37" s="199" t="e">
        <f t="shared" si="9"/>
        <v>#VALUE!</v>
      </c>
      <c r="H37" s="198">
        <f>C37+Engine!$C$46/10000</f>
        <v>8.571236102055093E-3</v>
      </c>
      <c r="I37" s="199" t="e">
        <f t="shared" si="10"/>
        <v>#VALUE!</v>
      </c>
      <c r="J37" s="198" t="e">
        <f>C37+Engine!$C$47/10000*(1-2*B37/10)</f>
        <v>#VALUE!</v>
      </c>
      <c r="K37" s="199" t="e">
        <f t="shared" si="11"/>
        <v>#VALUE!</v>
      </c>
      <c r="L37" s="198" t="e">
        <f>C37+Engine!$C$48/10000*(1-2*B37/10)</f>
        <v>#VALUE!</v>
      </c>
      <c r="M37" s="199" t="e">
        <f t="shared" si="12"/>
        <v>#VALUE!</v>
      </c>
    </row>
    <row r="38" spans="1:13" x14ac:dyDescent="0.25">
      <c r="C38" s="259"/>
      <c r="D38" s="259"/>
      <c r="E38" s="259"/>
      <c r="F38" s="259"/>
    </row>
    <row r="39" spans="1:13" x14ac:dyDescent="0.25">
      <c r="C39" s="259"/>
      <c r="D39" s="259"/>
      <c r="E39" s="259"/>
      <c r="F39" s="259"/>
    </row>
    <row r="40" spans="1:13" x14ac:dyDescent="0.25">
      <c r="C40" s="259"/>
      <c r="D40" s="259"/>
      <c r="E40" s="259"/>
      <c r="F40" s="259"/>
    </row>
    <row r="41" spans="1:13" x14ac:dyDescent="0.25">
      <c r="C41" s="259"/>
      <c r="D41" s="259"/>
      <c r="E41" s="259"/>
      <c r="F41" s="259"/>
    </row>
    <row r="42" spans="1:13" x14ac:dyDescent="0.25">
      <c r="C42" s="259"/>
      <c r="D42" s="259"/>
      <c r="E42" s="259"/>
      <c r="F42" s="259"/>
    </row>
    <row r="43" spans="1:13" x14ac:dyDescent="0.25">
      <c r="C43" s="259"/>
      <c r="D43" s="259"/>
      <c r="E43" s="259"/>
      <c r="F43" s="259"/>
    </row>
    <row r="44" spans="1:13" x14ac:dyDescent="0.25">
      <c r="C44" s="259"/>
      <c r="D44" s="259"/>
      <c r="E44" s="259"/>
      <c r="F44" s="259"/>
    </row>
  </sheetData>
  <mergeCells count="9">
    <mergeCell ref="A1:M1"/>
    <mergeCell ref="A2:C2"/>
    <mergeCell ref="A9:E9"/>
    <mergeCell ref="A22:M22"/>
    <mergeCell ref="C23:E23"/>
    <mergeCell ref="F23:G23"/>
    <mergeCell ref="H23:I23"/>
    <mergeCell ref="J23:K23"/>
    <mergeCell ref="L23:M23"/>
  </mergeCells>
  <pageMargins left="6.9444444444444441E-3" right="6.9444444444444441E-3" top="6.9444444444444441E-3" bottom="6.9444444444444441E-3" header="4.1666666666666666E-3" footer="4.1666666666666666E-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B42"/>
    <pageSetUpPr fitToPage="1"/>
  </sheetPr>
  <dimension ref="A1:S367"/>
  <sheetViews>
    <sheetView showGridLines="0" tabSelected="1" topLeftCell="A364" zoomScale="67" zoomScaleNormal="20" workbookViewId="0">
      <selection activeCell="B40" sqref="B40"/>
    </sheetView>
  </sheetViews>
  <sheetFormatPr defaultColWidth="8.7109375" defaultRowHeight="15" customHeight="1" x14ac:dyDescent="0.25"/>
  <cols>
    <col min="1" max="1" width="2.42578125" customWidth="1"/>
    <col min="2" max="2" width="44.5703125" customWidth="1"/>
    <col min="3" max="19" width="16.140625" customWidth="1"/>
  </cols>
  <sheetData>
    <row r="1" spans="1:19" ht="15" customHeight="1" thickBot="1" x14ac:dyDescent="0.35">
      <c r="A1" s="170"/>
      <c r="B1" s="170" t="s">
        <v>492</v>
      </c>
      <c r="C1" s="170"/>
      <c r="D1" s="170"/>
      <c r="E1" s="170"/>
      <c r="F1" s="170"/>
      <c r="G1" s="204"/>
      <c r="H1" s="204"/>
      <c r="I1" s="204"/>
      <c r="J1" s="205"/>
      <c r="K1" s="205"/>
      <c r="L1" s="205"/>
      <c r="M1" s="205"/>
      <c r="N1" s="205"/>
      <c r="O1" s="205"/>
      <c r="P1" s="205"/>
      <c r="Q1" s="205"/>
      <c r="R1" s="205"/>
      <c r="S1" s="205"/>
    </row>
    <row r="2" spans="1:19" ht="15" customHeight="1" thickBot="1" x14ac:dyDescent="0.3">
      <c r="A2" s="137"/>
      <c r="B2" s="206" t="str">
        <f>"SECTION 1 — NII SIMULATION 2025A | Scenario: "&amp;CHOOSE(Engine!C4,"Base","Rate Hike","Rate Cut","Stress")</f>
        <v>SECTION 1 — NII SIMULATION 2025A | Scenario: Base</v>
      </c>
      <c r="C2" s="206"/>
      <c r="D2" s="206"/>
      <c r="E2" s="206"/>
      <c r="F2" s="206"/>
      <c r="G2" s="206"/>
      <c r="H2" s="206"/>
      <c r="I2" s="206"/>
      <c r="J2" s="140"/>
      <c r="K2" s="140"/>
      <c r="L2" s="140"/>
      <c r="M2" s="140"/>
      <c r="N2" s="140"/>
      <c r="O2" s="140"/>
      <c r="P2" s="140"/>
      <c r="Q2" s="140"/>
      <c r="R2" s="140"/>
      <c r="S2" s="140"/>
    </row>
    <row r="3" spans="1:19" ht="15" customHeight="1" x14ac:dyDescent="0.25">
      <c r="A3" s="8"/>
      <c r="B3" s="209" t="s">
        <v>493</v>
      </c>
      <c r="C3" s="210" t="s">
        <v>494</v>
      </c>
      <c r="D3" s="210" t="s">
        <v>495</v>
      </c>
      <c r="E3" s="210" t="s">
        <v>496</v>
      </c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</row>
    <row r="4" spans="1:19" ht="15" customHeight="1" x14ac:dyDescent="0.25">
      <c r="A4" s="8"/>
      <c r="B4" s="173" t="s">
        <v>497</v>
      </c>
      <c r="C4" s="218">
        <f>Engine!D126</f>
        <v>211330</v>
      </c>
      <c r="D4" s="219">
        <f>Engine!D14</f>
        <v>2.5000000000000001E-2</v>
      </c>
      <c r="E4" s="221">
        <f>C4*D4</f>
        <v>5283.25</v>
      </c>
      <c r="H4" s="8"/>
      <c r="I4" s="8"/>
      <c r="J4" s="8"/>
      <c r="K4" s="8"/>
      <c r="L4" s="8"/>
      <c r="M4" s="8"/>
      <c r="N4" s="8"/>
    </row>
    <row r="5" spans="1:19" ht="15" customHeight="1" x14ac:dyDescent="0.25">
      <c r="A5" s="8"/>
      <c r="B5" s="173" t="s">
        <v>57</v>
      </c>
      <c r="C5" s="218">
        <f>Engine!D128</f>
        <v>897358</v>
      </c>
      <c r="D5" s="219">
        <f>Engine!D116</f>
        <v>3.7999999999999999E-2</v>
      </c>
      <c r="E5" s="221">
        <f>C5*D5</f>
        <v>34099.603999999999</v>
      </c>
      <c r="H5" s="8"/>
      <c r="I5" s="8"/>
      <c r="J5" s="8"/>
      <c r="K5" s="8"/>
      <c r="L5" s="8"/>
      <c r="M5" s="8"/>
      <c r="N5" s="8"/>
    </row>
    <row r="6" spans="1:19" ht="15" customHeight="1" x14ac:dyDescent="0.25">
      <c r="A6" s="8"/>
      <c r="B6" s="173" t="s">
        <v>58</v>
      </c>
      <c r="C6" s="218">
        <f>Engine!D129</f>
        <v>26259</v>
      </c>
      <c r="D6" s="219">
        <f>Engine!D121</f>
        <v>3.1E-2</v>
      </c>
      <c r="E6" s="221">
        <f>C6*D6</f>
        <v>814.029</v>
      </c>
      <c r="H6" s="8"/>
      <c r="I6" s="8"/>
      <c r="J6" s="8"/>
      <c r="K6" s="8"/>
      <c r="L6" s="8"/>
      <c r="M6" s="8"/>
      <c r="N6" s="8"/>
    </row>
    <row r="7" spans="1:19" ht="15" customHeight="1" x14ac:dyDescent="0.25">
      <c r="A7" s="8"/>
      <c r="B7" s="173" t="s">
        <v>498</v>
      </c>
      <c r="C7" s="231">
        <f>Engine!D130</f>
        <v>153107</v>
      </c>
      <c r="D7" s="232">
        <f>Engine!D119</f>
        <v>0.03</v>
      </c>
      <c r="E7" s="233">
        <f>C7*D7</f>
        <v>4593.21</v>
      </c>
      <c r="H7" s="8"/>
      <c r="I7" s="8"/>
      <c r="J7" s="8"/>
      <c r="K7" s="8"/>
      <c r="L7" s="8"/>
      <c r="M7" s="8"/>
      <c r="N7" s="8"/>
    </row>
    <row r="8" spans="1:19" ht="15" customHeight="1" thickBot="1" x14ac:dyDescent="0.3">
      <c r="A8" s="8"/>
      <c r="B8" s="230" t="s">
        <v>499</v>
      </c>
      <c r="C8" s="234">
        <f>SUM(C4:C7)</f>
        <v>1288054</v>
      </c>
      <c r="D8" s="235"/>
      <c r="E8" s="234">
        <f>SUM(E4:E7)</f>
        <v>44790.093000000001</v>
      </c>
      <c r="F8" s="236"/>
      <c r="G8" s="236"/>
      <c r="H8" s="237"/>
      <c r="I8" s="237"/>
      <c r="J8" s="237"/>
      <c r="K8" s="237"/>
      <c r="L8" s="237"/>
      <c r="M8" s="237"/>
      <c r="N8" s="237"/>
      <c r="O8" s="236"/>
      <c r="P8" s="236"/>
      <c r="Q8" s="236"/>
      <c r="R8" s="236"/>
      <c r="S8" s="236"/>
    </row>
    <row r="9" spans="1:19" ht="15" customHeight="1" x14ac:dyDescent="0.25">
      <c r="A9" s="8"/>
      <c r="B9" s="13"/>
      <c r="C9" s="13"/>
      <c r="D9" s="13"/>
      <c r="E9" s="13"/>
      <c r="H9" s="8"/>
      <c r="I9" s="8"/>
      <c r="J9" s="8"/>
      <c r="K9" s="8"/>
      <c r="L9" s="8"/>
      <c r="M9" s="8"/>
      <c r="N9" s="8"/>
    </row>
    <row r="10" spans="1:19" ht="15" customHeight="1" x14ac:dyDescent="0.25">
      <c r="A10" s="8"/>
      <c r="B10" s="209" t="s">
        <v>500</v>
      </c>
      <c r="C10" s="209" t="s">
        <v>494</v>
      </c>
      <c r="D10" s="209" t="s">
        <v>495</v>
      </c>
      <c r="E10" s="209" t="s">
        <v>501</v>
      </c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</row>
    <row r="11" spans="1:19" ht="15" customHeight="1" x14ac:dyDescent="0.25">
      <c r="A11" s="8"/>
      <c r="B11" s="173" t="s">
        <v>63</v>
      </c>
      <c r="C11" s="218">
        <f>Engine!D136</f>
        <v>1075564</v>
      </c>
      <c r="D11" s="220">
        <f>Engine!D117</f>
        <v>5.000000000000001E-3</v>
      </c>
      <c r="E11" s="221">
        <f>C11*D11</f>
        <v>5377.8200000000006</v>
      </c>
      <c r="H11" s="8"/>
      <c r="I11" s="8"/>
      <c r="J11" s="8"/>
      <c r="K11" s="8"/>
      <c r="L11" s="8"/>
      <c r="M11" s="8"/>
      <c r="N11" s="8"/>
    </row>
    <row r="12" spans="1:19" ht="15" customHeight="1" x14ac:dyDescent="0.25">
      <c r="A12" s="8"/>
      <c r="B12" s="173" t="s">
        <v>64</v>
      </c>
      <c r="C12" s="218">
        <f>Engine!D137</f>
        <v>69938</v>
      </c>
      <c r="D12" s="220">
        <f>Engine!D121</f>
        <v>3.1E-2</v>
      </c>
      <c r="E12" s="221">
        <f>C12*D12</f>
        <v>2168.078</v>
      </c>
      <c r="H12" s="8"/>
      <c r="I12" s="8"/>
      <c r="J12" s="8"/>
      <c r="K12" s="8"/>
      <c r="L12" s="8"/>
      <c r="M12" s="8"/>
      <c r="N12" s="8"/>
    </row>
    <row r="13" spans="1:19" ht="15" customHeight="1" x14ac:dyDescent="0.25">
      <c r="A13" s="8"/>
      <c r="B13" s="173" t="s">
        <v>65</v>
      </c>
      <c r="C13" s="218">
        <f>Engine!D138</f>
        <v>357947</v>
      </c>
      <c r="D13" s="220">
        <f>Engine!D118</f>
        <v>2.4150000000000001E-2</v>
      </c>
      <c r="E13" s="221">
        <f>C13*D13</f>
        <v>8644.4200500000006</v>
      </c>
      <c r="H13" s="8"/>
      <c r="I13" s="8"/>
      <c r="J13" s="8"/>
      <c r="K13" s="8"/>
      <c r="L13" s="8"/>
      <c r="M13" s="8"/>
      <c r="N13" s="8"/>
    </row>
    <row r="14" spans="1:19" ht="15" customHeight="1" x14ac:dyDescent="0.25">
      <c r="A14" s="8"/>
      <c r="B14" s="173" t="s">
        <v>66</v>
      </c>
      <c r="C14" s="218">
        <f>Engine!D139</f>
        <v>173933</v>
      </c>
      <c r="D14" s="220">
        <f>Engine!D120</f>
        <v>3.2500000000000001E-2</v>
      </c>
      <c r="E14" s="221">
        <f>C14*D14</f>
        <v>5652.8225000000002</v>
      </c>
      <c r="H14" s="8"/>
      <c r="I14" s="8"/>
      <c r="J14" s="8"/>
      <c r="K14" s="8"/>
      <c r="L14" s="8"/>
      <c r="M14" s="8"/>
      <c r="N14" s="8"/>
    </row>
    <row r="15" spans="1:19" ht="15" customHeight="1" x14ac:dyDescent="0.25">
      <c r="A15" s="8"/>
      <c r="B15" s="173" t="s">
        <v>67</v>
      </c>
      <c r="C15" s="231">
        <f>Engine!D140</f>
        <v>34468</v>
      </c>
      <c r="D15" s="220">
        <f>Engine!D122</f>
        <v>2.5000000000000001E-2</v>
      </c>
      <c r="E15" s="233">
        <f>C15*D15</f>
        <v>861.7</v>
      </c>
      <c r="H15" s="8"/>
      <c r="I15" s="8"/>
      <c r="J15" s="8"/>
      <c r="K15" s="8"/>
      <c r="L15" s="8"/>
      <c r="M15" s="8"/>
      <c r="N15" s="8"/>
    </row>
    <row r="16" spans="1:19" ht="15" customHeight="1" thickBot="1" x14ac:dyDescent="0.3">
      <c r="A16" s="8"/>
      <c r="B16" s="230" t="s">
        <v>502</v>
      </c>
      <c r="C16" s="234">
        <f>SUM(C11:C15)</f>
        <v>1711850</v>
      </c>
      <c r="D16" s="235"/>
      <c r="E16" s="234">
        <f>SUM(E11:E15)</f>
        <v>22704.840550000004</v>
      </c>
      <c r="F16" s="236"/>
      <c r="G16" s="236"/>
      <c r="H16" s="237"/>
      <c r="I16" s="237"/>
      <c r="J16" s="237"/>
      <c r="K16" s="237"/>
      <c r="L16" s="237"/>
      <c r="M16" s="237"/>
      <c r="N16" s="237"/>
      <c r="O16" s="236"/>
      <c r="P16" s="236"/>
      <c r="Q16" s="236"/>
      <c r="R16" s="236"/>
      <c r="S16" s="236"/>
    </row>
    <row r="17" spans="1:19" ht="15" customHeight="1" x14ac:dyDescent="0.25">
      <c r="A17" s="8"/>
      <c r="B17" s="200"/>
      <c r="C17" s="203"/>
      <c r="D17" s="203"/>
      <c r="E17" s="203"/>
      <c r="H17" s="8"/>
      <c r="I17" s="8"/>
      <c r="J17" s="8"/>
      <c r="K17" s="8"/>
      <c r="L17" s="8"/>
      <c r="M17" s="8"/>
      <c r="N17" s="8"/>
    </row>
    <row r="18" spans="1:19" ht="15" customHeight="1" thickBot="1" x14ac:dyDescent="0.3">
      <c r="A18" s="8"/>
      <c r="B18" s="238" t="s">
        <v>503</v>
      </c>
      <c r="C18" s="234">
        <f>E8-E16</f>
        <v>22085.252449999996</v>
      </c>
      <c r="D18" s="236"/>
      <c r="E18" s="236"/>
      <c r="F18" s="236"/>
      <c r="G18" s="236"/>
      <c r="H18" s="237"/>
      <c r="I18" s="237"/>
      <c r="J18" s="237"/>
      <c r="K18" s="237"/>
      <c r="L18" s="237"/>
      <c r="M18" s="237"/>
      <c r="N18" s="237"/>
      <c r="O18" s="236"/>
      <c r="P18" s="236"/>
      <c r="Q18" s="236"/>
      <c r="R18" s="236"/>
      <c r="S18" s="236"/>
    </row>
    <row r="19" spans="1:19" ht="15" customHeight="1" x14ac:dyDescent="0.25">
      <c r="A19" s="8"/>
      <c r="B19" s="173" t="s">
        <v>504</v>
      </c>
      <c r="C19" s="218">
        <f>(Engine!C126+Engine!C128+Engine!C129+Engine!C130+Engine!D126+Engine!D128+Engine!D129+Engine!D130)/2</f>
        <v>1275211.5</v>
      </c>
      <c r="H19" s="8"/>
      <c r="I19" s="8"/>
      <c r="J19" s="8"/>
      <c r="K19" s="8"/>
      <c r="L19" s="8"/>
      <c r="M19" s="8"/>
      <c r="N19" s="8"/>
    </row>
    <row r="20" spans="1:19" ht="15" customHeight="1" x14ac:dyDescent="0.25">
      <c r="A20" s="8"/>
      <c r="B20" s="173" t="s">
        <v>505</v>
      </c>
      <c r="C20" s="227">
        <f>C18/C19</f>
        <v>1.7318893728608939E-2</v>
      </c>
      <c r="H20" s="8"/>
      <c r="I20" s="8"/>
      <c r="J20" s="8"/>
      <c r="K20" s="8"/>
      <c r="L20" s="8"/>
      <c r="M20" s="8"/>
      <c r="N20" s="8"/>
    </row>
    <row r="21" spans="1:19" ht="15" customHeight="1" collapsed="1" thickBot="1" x14ac:dyDescent="0.3">
      <c r="A21" s="137"/>
      <c r="B21" s="206" t="str">
        <f>"SECTION 2 — P&amp;L MODEL | 2025A→2028F | Scenario: "&amp;CHOOSE(Engine!C4,"Base","Rate Hike","Rate Cut","Stress")</f>
        <v>SECTION 2 — P&amp;L MODEL | 2025A→2028F | Scenario: Base</v>
      </c>
      <c r="C21" s="206"/>
      <c r="D21" s="206"/>
      <c r="E21" s="206"/>
      <c r="F21" s="206"/>
      <c r="G21" s="206"/>
      <c r="H21" s="206"/>
      <c r="I21" s="206"/>
      <c r="J21" s="140"/>
      <c r="K21" s="140"/>
      <c r="L21" s="140"/>
      <c r="M21" s="140"/>
      <c r="N21" s="140"/>
      <c r="O21" s="140"/>
      <c r="P21" s="140"/>
      <c r="Q21" s="140"/>
      <c r="R21" s="140"/>
      <c r="S21" s="140"/>
    </row>
    <row r="22" spans="1:19" ht="15" customHeight="1" x14ac:dyDescent="0.25">
      <c r="A22" s="8"/>
      <c r="B22" s="252" t="s">
        <v>506</v>
      </c>
      <c r="C22" s="253" t="s">
        <v>50</v>
      </c>
      <c r="D22" s="253" t="s">
        <v>51</v>
      </c>
      <c r="E22" s="253" t="s">
        <v>52</v>
      </c>
      <c r="F22" s="253" t="s">
        <v>53</v>
      </c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</row>
    <row r="23" spans="1:19" ht="15" customHeight="1" thickBot="1" x14ac:dyDescent="0.3">
      <c r="A23" s="8"/>
      <c r="B23" s="254" t="s">
        <v>74</v>
      </c>
      <c r="C23" s="234">
        <f>C18</f>
        <v>22085.252449999996</v>
      </c>
      <c r="D23" s="255">
        <f ca="1">(Engine!E126*Engine!E14)+(Engine!E128*Engine!E116)+(Engine!E129*Engine!E121)+(Engine!E130*Engine!E119)-((Engine!E136*Engine!E117)+(Engine!E137*Engine!E121)+(Engine!E138*Engine!E118)+(Engine!E139*Engine!E120)+(Engine!E140*Engine!E122))</f>
        <v>22685.668548310969</v>
      </c>
      <c r="E23" s="255">
        <f ca="1">(Engine!F126*Engine!F14)+(Engine!F128*Engine!F116)+(Engine!F129*Engine!F121)+(Engine!F130*Engine!F119)-((Engine!F136*Engine!F117)+(Engine!F137*Engine!F121)+(Engine!F138*Engine!F118)+(Engine!F139*Engine!F120)+(Engine!F140*Engine!F122))</f>
        <v>23224.923378361829</v>
      </c>
      <c r="F23" s="255">
        <f ca="1">(Engine!G126*Engine!G14)+(Engine!G128*Engine!G116)+(Engine!G129*Engine!G121)+(Engine!G130*Engine!G119)-((Engine!G136*Engine!G117)+(Engine!G137*Engine!G121)+(Engine!G138*Engine!G118)+(Engine!G139*Engine!G120)+(Engine!G140*Engine!G122))</f>
        <v>24295.945410446995</v>
      </c>
      <c r="G23" s="256"/>
      <c r="H23" s="257"/>
      <c r="I23" s="257"/>
      <c r="J23" s="257"/>
      <c r="K23" s="257"/>
      <c r="L23" s="257"/>
      <c r="M23" s="257"/>
      <c r="N23" s="257"/>
      <c r="O23" s="256"/>
      <c r="P23" s="256"/>
      <c r="Q23" s="256"/>
      <c r="R23" s="256"/>
      <c r="S23" s="256"/>
    </row>
    <row r="24" spans="1:19" ht="15" customHeight="1" x14ac:dyDescent="0.25">
      <c r="A24" s="8"/>
      <c r="B24" s="174" t="s">
        <v>75</v>
      </c>
      <c r="C24" s="239">
        <f>Engine!D132*Engine!$C$40</f>
        <v>22343.848000000002</v>
      </c>
      <c r="D24" s="239">
        <f ca="1">Engine!E132*Engine!$C$40</f>
        <v>22670.69677273279</v>
      </c>
      <c r="E24" s="239">
        <f ca="1">Engine!F132*Engine!$C$40</f>
        <v>23004.312219384738</v>
      </c>
      <c r="F24" s="239">
        <f ca="1">Engine!G132*Engine!$C$40</f>
        <v>23345.323102340804</v>
      </c>
      <c r="H24" s="8"/>
      <c r="I24" s="8"/>
      <c r="J24" s="8"/>
      <c r="K24" s="8"/>
      <c r="L24" s="8"/>
      <c r="M24" s="8"/>
      <c r="N24" s="8"/>
    </row>
    <row r="25" spans="1:19" ht="15" customHeight="1" thickBot="1" x14ac:dyDescent="0.3">
      <c r="A25" s="8"/>
      <c r="B25" s="238" t="s">
        <v>76</v>
      </c>
      <c r="C25" s="234">
        <f>C23+C24</f>
        <v>44429.100449999998</v>
      </c>
      <c r="D25" s="234">
        <f ca="1">D23+D24</f>
        <v>45356.365321043762</v>
      </c>
      <c r="E25" s="234">
        <f ca="1">E23+E24</f>
        <v>46229.235597746563</v>
      </c>
      <c r="F25" s="234">
        <f ca="1">F23+F24</f>
        <v>47641.268512787799</v>
      </c>
      <c r="G25" s="236"/>
      <c r="H25" s="237"/>
      <c r="I25" s="237"/>
      <c r="J25" s="237"/>
      <c r="K25" s="237"/>
      <c r="L25" s="237"/>
      <c r="M25" s="237"/>
      <c r="N25" s="237"/>
      <c r="O25" s="236"/>
      <c r="P25" s="236"/>
      <c r="Q25" s="236"/>
      <c r="R25" s="236"/>
      <c r="S25" s="236"/>
    </row>
    <row r="26" spans="1:19" ht="15" customHeight="1" x14ac:dyDescent="0.25">
      <c r="A26" s="8"/>
      <c r="B26" s="173" t="s">
        <v>507</v>
      </c>
      <c r="C26" s="32">
        <f>C25*(-Engine!$H$5)</f>
        <v>-27546.042278999998</v>
      </c>
      <c r="D26" s="32">
        <f ca="1">D25*(-Engine!$H$5)</f>
        <v>-28120.946499047132</v>
      </c>
      <c r="E26" s="32">
        <f ca="1">E25*(-Engine!$H$5)</f>
        <v>-28662.12607060287</v>
      </c>
      <c r="F26" s="32">
        <f ca="1">F25*(-Engine!$H$5)</f>
        <v>-29537.586477928435</v>
      </c>
      <c r="H26" s="8"/>
      <c r="I26" s="8"/>
      <c r="J26" s="8"/>
      <c r="K26" s="8"/>
      <c r="L26" s="8"/>
      <c r="M26" s="8"/>
      <c r="N26" s="8"/>
    </row>
    <row r="27" spans="1:19" ht="15" customHeight="1" x14ac:dyDescent="0.25">
      <c r="A27" s="8"/>
      <c r="B27" s="173" t="s">
        <v>508</v>
      </c>
      <c r="C27" s="221">
        <f>C25+C26</f>
        <v>16883.058171000001</v>
      </c>
      <c r="D27" s="221">
        <f ca="1">D25+D26</f>
        <v>17235.418821996631</v>
      </c>
      <c r="E27" s="221">
        <f ca="1">E25+E26</f>
        <v>17567.109527143693</v>
      </c>
      <c r="F27" s="221">
        <f ca="1">F25+F26</f>
        <v>18103.682034859365</v>
      </c>
      <c r="H27" s="8"/>
      <c r="I27" s="8"/>
      <c r="J27" s="8"/>
      <c r="K27" s="8"/>
      <c r="L27" s="8"/>
      <c r="M27" s="8"/>
      <c r="N27" s="8"/>
    </row>
    <row r="28" spans="1:19" ht="15" customHeight="1" x14ac:dyDescent="0.25">
      <c r="A28" s="8"/>
      <c r="B28" s="173" t="s">
        <v>509</v>
      </c>
      <c r="C28" s="32">
        <f>-(Engine!D128*Engine!$G$5/10000)</f>
        <v>-2243.395</v>
      </c>
      <c r="D28" s="32">
        <f>-(Engine!E128*Engine!$G$5/10000)</f>
        <v>-2310.6968499999998</v>
      </c>
      <c r="E28" s="32">
        <f>-(Engine!F128*Engine!$G$5/10000)</f>
        <v>-2380.0177555</v>
      </c>
      <c r="F28" s="32">
        <f>-(Engine!G128*Engine!$G$5/10000)</f>
        <v>-2451.4182881649999</v>
      </c>
      <c r="H28" s="8"/>
      <c r="I28" s="8"/>
      <c r="J28" s="8"/>
      <c r="K28" s="8"/>
      <c r="L28" s="8"/>
      <c r="M28" s="8"/>
      <c r="N28" s="8"/>
    </row>
    <row r="29" spans="1:19" ht="15" customHeight="1" x14ac:dyDescent="0.25">
      <c r="A29" s="8"/>
      <c r="B29" s="173" t="s">
        <v>510</v>
      </c>
      <c r="C29" s="221">
        <f>C27+C28</f>
        <v>14639.663171</v>
      </c>
      <c r="D29" s="221">
        <f ca="1">D27+D28</f>
        <v>14924.721971996631</v>
      </c>
      <c r="E29" s="221">
        <f ca="1">E27+E28</f>
        <v>15187.091771643692</v>
      </c>
      <c r="F29" s="221">
        <f ca="1">F27+F28</f>
        <v>15652.263746694365</v>
      </c>
      <c r="H29" s="8"/>
      <c r="I29" s="8"/>
      <c r="J29" s="8"/>
      <c r="K29" s="8"/>
      <c r="L29" s="8"/>
      <c r="M29" s="8"/>
      <c r="N29" s="8"/>
    </row>
    <row r="30" spans="1:19" ht="15" customHeight="1" x14ac:dyDescent="0.25">
      <c r="A30" s="8"/>
      <c r="B30" s="174" t="s">
        <v>511</v>
      </c>
      <c r="C30" s="239">
        <f>C29*(-Engine!$C$156)</f>
        <v>-3659.91579275</v>
      </c>
      <c r="D30" s="239">
        <f ca="1">D29*(-Engine!$C$156)</f>
        <v>-3731.1804929991577</v>
      </c>
      <c r="E30" s="239">
        <f ca="1">E29*(-Engine!$C$156)</f>
        <v>-3796.7729429109231</v>
      </c>
      <c r="F30" s="239">
        <f ca="1">F29*(-Engine!$C$156)</f>
        <v>-3913.0659366735913</v>
      </c>
      <c r="H30" s="8"/>
      <c r="I30" s="8"/>
      <c r="J30" s="8"/>
      <c r="K30" s="8"/>
      <c r="L30" s="8"/>
      <c r="M30" s="8"/>
      <c r="N30" s="8"/>
    </row>
    <row r="31" spans="1:19" ht="15" customHeight="1" thickBot="1" x14ac:dyDescent="0.3">
      <c r="A31" s="8"/>
      <c r="B31" s="238" t="s">
        <v>79</v>
      </c>
      <c r="C31" s="234">
        <f>C29+C30</f>
        <v>10979.74737825</v>
      </c>
      <c r="D31" s="234">
        <f ca="1">D29+D30</f>
        <v>11193.541478997473</v>
      </c>
      <c r="E31" s="234">
        <f ca="1">E29+E30</f>
        <v>11390.318828732768</v>
      </c>
      <c r="F31" s="234">
        <f ca="1">F29+F30</f>
        <v>11739.197810020774</v>
      </c>
      <c r="G31" s="236"/>
      <c r="H31" s="237"/>
      <c r="I31" s="237"/>
      <c r="J31" s="237"/>
      <c r="K31" s="237"/>
      <c r="L31" s="237"/>
      <c r="M31" s="237"/>
      <c r="N31" s="237"/>
      <c r="O31" s="236"/>
      <c r="P31" s="236"/>
      <c r="Q31" s="236"/>
      <c r="R31" s="236"/>
      <c r="S31" s="236"/>
    </row>
    <row r="32" spans="1:19" ht="15" customHeight="1" x14ac:dyDescent="0.25">
      <c r="A32" s="8"/>
      <c r="B32" s="173" t="s">
        <v>512</v>
      </c>
      <c r="C32" s="32">
        <f>C31*(-Engine!$C$41)</f>
        <v>-6587.8484269499995</v>
      </c>
      <c r="D32" s="32">
        <f ca="1">D31*(-Engine!$C$41)</f>
        <v>-6716.1248873984832</v>
      </c>
      <c r="E32" s="32">
        <f ca="1">E31*(-Engine!$C$41)</f>
        <v>-6834.1912972396613</v>
      </c>
      <c r="F32" s="32">
        <f ca="1">F31*(-Engine!$C$41)</f>
        <v>-7043.5186860124641</v>
      </c>
      <c r="H32" s="8"/>
      <c r="I32" s="8"/>
      <c r="J32" s="8"/>
      <c r="K32" s="8"/>
      <c r="L32" s="8"/>
      <c r="M32" s="8"/>
      <c r="N32" s="8"/>
    </row>
    <row r="33" spans="1:19" ht="15" customHeight="1" x14ac:dyDescent="0.25">
      <c r="A33" s="8"/>
      <c r="B33" s="173" t="s">
        <v>513</v>
      </c>
      <c r="C33" s="221">
        <f>C31+C32</f>
        <v>4391.8989513000006</v>
      </c>
      <c r="D33" s="221">
        <f ca="1">D31*0.4</f>
        <v>4477.4165915989897</v>
      </c>
      <c r="E33" s="221">
        <f ca="1">E31+E32</f>
        <v>4556.1275314931072</v>
      </c>
      <c r="F33" s="221">
        <f ca="1">F31+F32</f>
        <v>4695.6791240083103</v>
      </c>
      <c r="H33" s="8"/>
      <c r="I33" s="8"/>
      <c r="J33" s="8"/>
      <c r="K33" s="8"/>
      <c r="L33" s="8"/>
      <c r="M33" s="8"/>
      <c r="N33" s="8"/>
    </row>
    <row r="34" spans="1:19" ht="15" customHeight="1" x14ac:dyDescent="0.25">
      <c r="A34" s="8"/>
      <c r="B34" s="173" t="s">
        <v>80</v>
      </c>
      <c r="C34" s="44">
        <f>C31/Engine!D145</f>
        <v>8.3071030984013375E-2</v>
      </c>
      <c r="D34" s="44">
        <f ca="1">D31/((Engine!D145+Engine!E145)/2)</f>
        <v>8.3278024071860426E-2</v>
      </c>
      <c r="E34" s="44">
        <f ca="1">E31/((Engine!E145+Engine!G145)/2)</f>
        <v>8.0624402130768616E-2</v>
      </c>
      <c r="F34" s="44">
        <f ca="1">F31/((Engine!F145+Engine!G145)/2)</f>
        <v>8.1775265294385641E-2</v>
      </c>
      <c r="H34" s="8"/>
      <c r="I34" s="8"/>
      <c r="J34" s="8"/>
      <c r="K34" s="8"/>
      <c r="L34" s="8"/>
      <c r="M34" s="8"/>
      <c r="N34" s="8"/>
    </row>
    <row r="35" spans="1:19" ht="15" customHeight="1" x14ac:dyDescent="0.25">
      <c r="A35" s="8"/>
      <c r="B35" s="173" t="s">
        <v>514</v>
      </c>
      <c r="C35" s="44">
        <f>C31/Engine!D132</f>
        <v>3.9311930078471712E-3</v>
      </c>
      <c r="D35" s="44">
        <f ca="1">D31/Engine!E132</f>
        <v>3.9499594004399619E-3</v>
      </c>
      <c r="E35" s="44">
        <f ca="1">E31/Engine!F132</f>
        <v>3.961107368081934E-3</v>
      </c>
      <c r="F35" s="44">
        <f ca="1">F31/Engine!G132</f>
        <v>4.0228007155210296E-3</v>
      </c>
      <c r="H35" s="8"/>
      <c r="I35" s="8"/>
      <c r="J35" s="8"/>
      <c r="K35" s="8"/>
      <c r="L35" s="8"/>
      <c r="M35" s="8"/>
      <c r="N35" s="8"/>
    </row>
    <row r="36" spans="1:19" ht="15" customHeight="1" x14ac:dyDescent="0.25">
      <c r="A36" s="8"/>
      <c r="B36" s="173" t="s">
        <v>515</v>
      </c>
      <c r="C36" s="227">
        <f>(-C26)/C25</f>
        <v>0.62</v>
      </c>
      <c r="D36" s="227">
        <f ca="1">(-D26)/D25</f>
        <v>0.62</v>
      </c>
      <c r="E36" s="227">
        <f ca="1">(-E26)/E25</f>
        <v>0.62</v>
      </c>
      <c r="F36" s="227">
        <f ca="1">(-F26)/F25</f>
        <v>0.62</v>
      </c>
      <c r="H36" s="8"/>
      <c r="I36" s="8"/>
      <c r="J36" s="8"/>
      <c r="K36" s="8"/>
      <c r="L36" s="8"/>
      <c r="M36" s="8"/>
      <c r="N36" s="8"/>
    </row>
    <row r="37" spans="1:19" ht="15" customHeight="1" x14ac:dyDescent="0.25">
      <c r="A37" s="8"/>
      <c r="B37" s="7" t="str">
        <f>"Model "&amp;Engine!C103&amp;"  |  Last updated: "&amp;TEXT(Engine!C111,"DD-MMM-YYYY")&amp;"  |  Prepared by: "&amp;Engine!F111</f>
        <v>Model v10  |  Last updated: 15-May-2026  |  Prepared by: Hossam Eltarrass</v>
      </c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</row>
    <row r="38" spans="1:19" ht="15" customHeight="1" collapsed="1" thickBot="1" x14ac:dyDescent="0.3">
      <c r="A38" s="137"/>
      <c r="B38" s="206" t="str">
        <f>"SECTION 3 — REPRICING GAP 2025A | EBA/GL/2022/14 | Scenario: "&amp;CHOOSE(Engine!C4,"Base","Rate Hike","Rate Cut","Stress")</f>
        <v>SECTION 3 — REPRICING GAP 2025A | EBA/GL/2022/14 | Scenario: Base</v>
      </c>
      <c r="C38" s="206"/>
      <c r="D38" s="206"/>
      <c r="E38" s="206"/>
      <c r="F38" s="206"/>
      <c r="G38" s="206"/>
      <c r="H38" s="206"/>
      <c r="I38" s="206"/>
      <c r="J38" s="140"/>
      <c r="K38" s="140"/>
      <c r="L38" s="140"/>
      <c r="M38" s="140"/>
      <c r="N38" s="140"/>
      <c r="O38" s="140"/>
      <c r="P38" s="140"/>
      <c r="Q38" s="140"/>
      <c r="R38" s="140"/>
      <c r="S38" s="140"/>
    </row>
    <row r="39" spans="1:19" ht="15" customHeight="1" x14ac:dyDescent="0.25">
      <c r="A39" s="8"/>
      <c r="B39" s="209" t="s">
        <v>516</v>
      </c>
      <c r="C39" s="210" t="s">
        <v>517</v>
      </c>
      <c r="D39" s="210" t="s">
        <v>518</v>
      </c>
      <c r="E39" s="210" t="s">
        <v>519</v>
      </c>
      <c r="F39" s="210" t="s">
        <v>520</v>
      </c>
      <c r="G39" s="210" t="s">
        <v>521</v>
      </c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</row>
    <row r="40" spans="1:19" ht="15" customHeight="1" x14ac:dyDescent="0.25">
      <c r="A40" s="8"/>
      <c r="B40" s="173" t="s">
        <v>485</v>
      </c>
      <c r="C40" s="218">
        <f>Engine!D126+Engine!D129*0.5</f>
        <v>224459.5</v>
      </c>
      <c r="D40" s="218">
        <f>Engine!D136*Engine!C37+Engine!D137*0.6+Engine!D138</f>
        <v>722579</v>
      </c>
      <c r="E40" s="221">
        <f t="shared" ref="E40:E46" si="0">C40-D40</f>
        <v>-498119.5</v>
      </c>
      <c r="F40" s="221">
        <f>E40</f>
        <v>-498119.5</v>
      </c>
      <c r="G40" s="218">
        <f>E40*Engine!$C$176*(1/365)</f>
        <v>-4.0941328767123286</v>
      </c>
      <c r="I40" s="8"/>
      <c r="J40" s="8"/>
      <c r="K40" s="8"/>
      <c r="L40" s="8"/>
      <c r="M40" s="8"/>
      <c r="N40" s="8"/>
    </row>
    <row r="41" spans="1:19" ht="15" customHeight="1" x14ac:dyDescent="0.25">
      <c r="A41" s="8"/>
      <c r="B41" s="173" t="s">
        <v>522</v>
      </c>
      <c r="C41" s="218">
        <f>Engine!D128*Engine!$C$160+Engine!D129*0.5+Engine!D130*0.05</f>
        <v>828407.05</v>
      </c>
      <c r="D41" s="218">
        <f>Engine!D136*Engine!$C$36*Engine!$C$168+Engine!D137*0.4</f>
        <v>103264.68</v>
      </c>
      <c r="E41" s="221">
        <f t="shared" si="0"/>
        <v>725142.37000000011</v>
      </c>
      <c r="F41" s="221">
        <f t="shared" ref="F41:F46" si="1">F40+E41</f>
        <v>227022.87000000011</v>
      </c>
      <c r="G41" s="218">
        <f>E41*0.01*Engine!$C$177</f>
        <v>906.42796250000015</v>
      </c>
      <c r="I41" s="8"/>
      <c r="J41" s="8"/>
      <c r="K41" s="8"/>
      <c r="L41" s="8"/>
      <c r="M41" s="8"/>
      <c r="N41" s="8"/>
    </row>
    <row r="42" spans="1:19" ht="15" customHeight="1" x14ac:dyDescent="0.25">
      <c r="A42" s="8"/>
      <c r="B42" s="173" t="s">
        <v>523</v>
      </c>
      <c r="C42" s="218">
        <f>Engine!D128*Engine!$C$161+Engine!D130*0.05</f>
        <v>25602.510000000002</v>
      </c>
      <c r="D42" s="218">
        <f>Engine!D136*Engine!$C$36*Engine!$C$169</f>
        <v>75289.48</v>
      </c>
      <c r="E42" s="221">
        <f t="shared" si="0"/>
        <v>-49686.969999999994</v>
      </c>
      <c r="F42" s="221">
        <f t="shared" si="1"/>
        <v>177335.90000000011</v>
      </c>
      <c r="G42" s="218">
        <f>E42*0.01*Engine!$C$178</f>
        <v>-186.32613749999999</v>
      </c>
      <c r="I42" s="8"/>
      <c r="J42" s="8"/>
      <c r="K42" s="8"/>
      <c r="L42" s="8"/>
      <c r="M42" s="8"/>
      <c r="N42" s="8"/>
    </row>
    <row r="43" spans="1:19" ht="15" customHeight="1" x14ac:dyDescent="0.25">
      <c r="A43" s="8"/>
      <c r="B43" s="173" t="s">
        <v>524</v>
      </c>
      <c r="C43" s="218">
        <f>Engine!D128*Engine!$C$162+Engine!D130*0.1</f>
        <v>42231.44</v>
      </c>
      <c r="D43" s="218">
        <f>Engine!D136*Engine!$C$36*Engine!$C$170</f>
        <v>112934.21999999999</v>
      </c>
      <c r="E43" s="221">
        <f t="shared" si="0"/>
        <v>-70702.779999999984</v>
      </c>
      <c r="F43" s="221">
        <f t="shared" si="1"/>
        <v>106633.12000000013</v>
      </c>
      <c r="G43" s="218">
        <f>E43*0.01*Engine!$C$179</f>
        <v>-530.27084999999988</v>
      </c>
      <c r="I43" s="8"/>
      <c r="J43" s="8"/>
      <c r="K43" s="8"/>
      <c r="L43" s="8"/>
      <c r="M43" s="8"/>
      <c r="N43" s="8"/>
    </row>
    <row r="44" spans="1:19" ht="15" customHeight="1" x14ac:dyDescent="0.25">
      <c r="A44" s="8"/>
      <c r="B44" s="173" t="s">
        <v>525</v>
      </c>
      <c r="C44" s="218">
        <f>Engine!D128*Engine!$C$163+Engine!D130*0.15</f>
        <v>40913.21</v>
      </c>
      <c r="D44" s="218">
        <f>Engine!D136*Engine!$C$36*Engine!$C$171+Engine!D139*0.1</f>
        <v>205616.99999999997</v>
      </c>
      <c r="E44" s="221">
        <f t="shared" si="0"/>
        <v>-164703.78999999998</v>
      </c>
      <c r="F44" s="221">
        <f t="shared" si="1"/>
        <v>-58070.669999999853</v>
      </c>
      <c r="G44" s="218">
        <f>E44*0.01*Engine!$C$180</f>
        <v>-2470.5568499999999</v>
      </c>
      <c r="I44" s="8"/>
      <c r="J44" s="8"/>
      <c r="K44" s="8"/>
      <c r="L44" s="8"/>
      <c r="M44" s="8"/>
      <c r="N44" s="8"/>
    </row>
    <row r="45" spans="1:19" ht="15" customHeight="1" x14ac:dyDescent="0.25">
      <c r="A45" s="8"/>
      <c r="B45" s="173" t="s">
        <v>526</v>
      </c>
      <c r="C45" s="218">
        <f>Engine!D128*Engine!$C$164+Engine!D130*0.35</f>
        <v>71534.61</v>
      </c>
      <c r="D45" s="218">
        <f>Engine!D136*Engine!$C$36*Engine!$C$172+Engine!D139*0.5</f>
        <v>312834.93999999994</v>
      </c>
      <c r="E45" s="221">
        <f t="shared" si="0"/>
        <v>-241300.32999999996</v>
      </c>
      <c r="F45" s="221">
        <f t="shared" si="1"/>
        <v>-299370.99999999983</v>
      </c>
      <c r="G45" s="218">
        <f>E45*0.01*Engine!$C$181</f>
        <v>-8445.5115499999993</v>
      </c>
      <c r="I45" s="8"/>
      <c r="J45" s="8"/>
      <c r="K45" s="8"/>
      <c r="L45" s="8"/>
      <c r="M45" s="8"/>
      <c r="N45" s="8"/>
    </row>
    <row r="46" spans="1:19" ht="15" customHeight="1" x14ac:dyDescent="0.25">
      <c r="A46" s="8"/>
      <c r="B46" s="174" t="s">
        <v>527</v>
      </c>
      <c r="C46" s="231">
        <f>Engine!D128*Engine!$C$165+Engine!D130*0.3</f>
        <v>54905.68</v>
      </c>
      <c r="D46" s="231">
        <f>Engine!D136*Engine!$C$36*Engine!$C$173+Engine!D139*0.4+Engine!D140</f>
        <v>179330.68</v>
      </c>
      <c r="E46" s="233">
        <f t="shared" si="0"/>
        <v>-124425</v>
      </c>
      <c r="F46" s="233">
        <f t="shared" si="1"/>
        <v>-423795.99999999983</v>
      </c>
      <c r="G46" s="231">
        <f>E46*0.01*Engine!$C$182</f>
        <v>-8709.75</v>
      </c>
      <c r="I46" s="8"/>
      <c r="J46" s="8"/>
      <c r="K46" s="8"/>
      <c r="L46" s="8"/>
      <c r="M46" s="8"/>
      <c r="N46" s="8"/>
    </row>
    <row r="47" spans="1:19" ht="15" customHeight="1" thickBot="1" x14ac:dyDescent="0.3">
      <c r="A47" s="8"/>
      <c r="B47" s="238" t="s">
        <v>528</v>
      </c>
      <c r="C47" s="234">
        <f>SUM(C40:C46)</f>
        <v>1288054</v>
      </c>
      <c r="D47" s="234">
        <f>SUM(D40:D46)</f>
        <v>1711849.9999999998</v>
      </c>
      <c r="E47" s="234">
        <f>SUM(E40:E46)</f>
        <v>-423795.99999999983</v>
      </c>
      <c r="F47" s="234">
        <f>F46</f>
        <v>-423795.99999999983</v>
      </c>
      <c r="G47" s="234">
        <f>SUM(G40:G46)</f>
        <v>-19440.081557876711</v>
      </c>
      <c r="H47" s="240"/>
      <c r="I47" s="237"/>
      <c r="J47" s="237"/>
      <c r="K47" s="237"/>
      <c r="L47" s="237"/>
      <c r="M47" s="237"/>
      <c r="N47" s="237"/>
      <c r="O47" s="236"/>
      <c r="P47" s="236"/>
      <c r="Q47" s="236"/>
      <c r="R47" s="236"/>
      <c r="S47" s="236"/>
    </row>
    <row r="48" spans="1:19" ht="15" customHeight="1" x14ac:dyDescent="0.25">
      <c r="A48" s="8"/>
      <c r="B48" s="11" t="s">
        <v>529</v>
      </c>
      <c r="C48" s="32">
        <f>C47-(Engine!D126+Engine!D128+Engine!D129+Engine!D130)</f>
        <v>0</v>
      </c>
      <c r="D48" s="32">
        <f>D47-(Engine!D136+Engine!D137+Engine!D138+Engine!D139+Engine!D140)</f>
        <v>0</v>
      </c>
      <c r="E48" s="46"/>
      <c r="F48" s="47"/>
      <c r="G48" s="47"/>
      <c r="H48" s="7"/>
      <c r="I48" s="8"/>
      <c r="J48" s="8"/>
      <c r="K48" s="8"/>
      <c r="L48" s="8"/>
      <c r="M48" s="8"/>
      <c r="N48" s="8"/>
    </row>
    <row r="49" spans="1:19" ht="15" customHeight="1" collapsed="1" thickBot="1" x14ac:dyDescent="0.3">
      <c r="A49" s="137"/>
      <c r="B49" s="206" t="str">
        <f>"SECTION 4 — IRRBB | EBA/GL/2022/14 | HEDGING DERIVATIVES EXCLUDED | Scenario: "&amp;CHOOSE(Engine!C4,"Base","Rate Hike","Rate Cut","Stress")</f>
        <v>SECTION 4 — IRRBB | EBA/GL/2022/14 | HEDGING DERIVATIVES EXCLUDED | Scenario: Base</v>
      </c>
      <c r="C49" s="206"/>
      <c r="D49" s="206"/>
      <c r="E49" s="206"/>
      <c r="F49" s="206"/>
      <c r="G49" s="206"/>
      <c r="H49" s="206"/>
      <c r="I49" s="206"/>
      <c r="J49" s="140"/>
      <c r="K49" s="140"/>
      <c r="L49" s="140"/>
      <c r="M49" s="140"/>
      <c r="N49" s="140"/>
      <c r="O49" s="140"/>
      <c r="P49" s="140"/>
      <c r="Q49" s="140"/>
      <c r="R49" s="140"/>
      <c r="S49" s="140"/>
    </row>
    <row r="50" spans="1:19" ht="15" customHeight="1" x14ac:dyDescent="0.25">
      <c r="A50" s="8"/>
      <c r="B50" s="209" t="s">
        <v>530</v>
      </c>
      <c r="C50" s="210" t="s">
        <v>531</v>
      </c>
      <c r="D50" s="210" t="s">
        <v>532</v>
      </c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</row>
    <row r="51" spans="1:19" ht="15" customHeight="1" x14ac:dyDescent="0.25">
      <c r="A51" s="8"/>
      <c r="B51" s="173" t="s">
        <v>533</v>
      </c>
      <c r="C51" s="218">
        <f>Engine!D126+Engine!D128*Engine!$C$24+Engine!D130</f>
        <v>1172059.2000000002</v>
      </c>
      <c r="D51" s="218">
        <f>Engine!D128+Engine!D129+Engine!D130+Engine!D126</f>
        <v>1288054</v>
      </c>
      <c r="H51" s="8"/>
      <c r="I51" s="8"/>
      <c r="J51" s="8"/>
      <c r="K51" s="8"/>
      <c r="L51" s="8"/>
      <c r="M51" s="8"/>
      <c r="N51" s="8"/>
    </row>
    <row r="52" spans="1:19" ht="15" customHeight="1" x14ac:dyDescent="0.25">
      <c r="A52" s="8"/>
      <c r="B52" s="173" t="s">
        <v>534</v>
      </c>
      <c r="C52" s="218">
        <f>Engine!D138+Engine!D137+Engine!D136*(1-Engine!$C$36)+Engine!D139*0.2+Engine!D140*0.1</f>
        <v>788787.60000000009</v>
      </c>
      <c r="D52" s="218">
        <f>Engine!D136+Engine!D137+Engine!D138+Engine!D139+Engine!D140</f>
        <v>1711850</v>
      </c>
      <c r="H52" s="8"/>
      <c r="I52" s="8"/>
      <c r="J52" s="8"/>
      <c r="K52" s="8"/>
      <c r="L52" s="8"/>
      <c r="M52" s="8"/>
      <c r="N52" s="8"/>
    </row>
    <row r="53" spans="1:19" ht="15" customHeight="1" x14ac:dyDescent="0.25">
      <c r="A53" s="8"/>
      <c r="B53" s="173" t="s">
        <v>535</v>
      </c>
      <c r="C53" s="221">
        <f>C51-C52</f>
        <v>383271.60000000009</v>
      </c>
      <c r="D53" s="221">
        <f>D51-D52</f>
        <v>-423796</v>
      </c>
      <c r="H53" s="8"/>
      <c r="I53" s="8"/>
      <c r="J53" s="8"/>
      <c r="K53" s="8"/>
      <c r="L53" s="8"/>
      <c r="M53" s="8"/>
      <c r="N53" s="8"/>
    </row>
    <row r="54" spans="1:19" ht="15" customHeight="1" x14ac:dyDescent="0.25">
      <c r="A54" s="8"/>
      <c r="B54" s="174" t="s">
        <v>536</v>
      </c>
      <c r="C54" s="241">
        <f>ABS(C57)/C18</f>
        <v>0.34708373913108714</v>
      </c>
      <c r="D54" s="242">
        <f>MAX(ABS(D57),ABS(D58),ABS(D59),ABS(D60),ABS(D61),ABS(D62))/Engine!D145</f>
        <v>0.13244639910571746</v>
      </c>
      <c r="H54" s="8"/>
      <c r="I54" s="8"/>
      <c r="J54" s="8"/>
      <c r="K54" s="8"/>
      <c r="L54" s="8"/>
      <c r="M54" s="8"/>
      <c r="N54" s="8"/>
    </row>
    <row r="55" spans="1:19" ht="15" customHeight="1" thickBot="1" x14ac:dyDescent="0.3">
      <c r="A55" s="8"/>
      <c r="B55" s="238" t="s">
        <v>537</v>
      </c>
      <c r="C55" s="243" t="s">
        <v>85</v>
      </c>
      <c r="D55" s="244">
        <f>(E40*Engine!$C$176)+(E41*Engine!$C$177)+(E42*Engine!$C$178)+(E43*Engine!$C$179)+(E44*Engine!$C$180)+(E45*Engine!$C$181)+(E46*Engine!$C$182)</f>
        <v>-1945093.1009999998</v>
      </c>
      <c r="E55" s="236"/>
      <c r="F55" s="236"/>
      <c r="G55" s="236"/>
      <c r="H55" s="240"/>
      <c r="I55" s="237"/>
      <c r="J55" s="237"/>
      <c r="K55" s="237"/>
      <c r="L55" s="237"/>
      <c r="M55" s="237"/>
      <c r="N55" s="237"/>
      <c r="O55" s="236"/>
      <c r="P55" s="236"/>
      <c r="Q55" s="236"/>
      <c r="R55" s="236"/>
      <c r="S55" s="236"/>
    </row>
    <row r="56" spans="1:19" ht="15" customHeight="1" x14ac:dyDescent="0.25">
      <c r="A56" s="8"/>
      <c r="B56" s="209" t="s">
        <v>538</v>
      </c>
      <c r="C56" s="210" t="s">
        <v>539</v>
      </c>
      <c r="D56" s="210" t="s">
        <v>540</v>
      </c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</row>
    <row r="57" spans="1:19" ht="15" customHeight="1" x14ac:dyDescent="0.25">
      <c r="A57" s="8"/>
      <c r="B57" s="173" t="s">
        <v>541</v>
      </c>
      <c r="C57" s="218">
        <f>C53*Engine!$C$45/10000</f>
        <v>7665.4320000000016</v>
      </c>
      <c r="D57" s="218">
        <f>D55*Engine!$C$45/10000*(1-Engine!$C$256)</f>
        <v>-17505.837908999994</v>
      </c>
      <c r="H57" s="8"/>
      <c r="I57" s="8"/>
      <c r="J57" s="8"/>
      <c r="K57" s="8"/>
      <c r="L57" s="8"/>
      <c r="M57" s="8"/>
      <c r="N57" s="8"/>
    </row>
    <row r="58" spans="1:19" ht="15" customHeight="1" x14ac:dyDescent="0.25">
      <c r="A58" s="8"/>
      <c r="B58" s="173" t="s">
        <v>542</v>
      </c>
      <c r="C58" s="218">
        <f>C53*Engine!$C$46/10000*Engine!$C$184</f>
        <v>-6515.6172000000015</v>
      </c>
      <c r="D58" s="218">
        <f>D55*ABS(Engine!$C$46)/10000*(-Engine!$C$184)*(1-Engine!$C$256)</f>
        <v>14879.962222649994</v>
      </c>
      <c r="H58" s="8"/>
      <c r="I58" s="8"/>
      <c r="J58" s="8"/>
      <c r="K58" s="8"/>
      <c r="L58" s="8"/>
      <c r="M58" s="8"/>
      <c r="N58" s="8"/>
    </row>
    <row r="59" spans="1:19" ht="15" customHeight="1" x14ac:dyDescent="0.25">
      <c r="A59" s="8"/>
      <c r="B59" s="173" t="s">
        <v>543</v>
      </c>
      <c r="C59" s="218">
        <f>C53*Engine!$C$47/10000</f>
        <v>3449.4444000000008</v>
      </c>
      <c r="D59" s="218">
        <f>((E44*Engine!$C$180+E45*Engine!$C$181+E46*Engine!$C$182)-(E40*Engine!$C$176+E41*Engine!$C$177+E42*Engine!$C$178+E43*Engine!$C$179))*Engine!$C$47/10000*(1-Engine!$C$256)</f>
        <v>-8019.2858449499981</v>
      </c>
      <c r="H59" s="8"/>
      <c r="I59" s="8"/>
      <c r="J59" s="8"/>
      <c r="K59" s="8"/>
      <c r="L59" s="8"/>
      <c r="M59" s="8"/>
      <c r="N59" s="8"/>
    </row>
    <row r="60" spans="1:19" ht="15" customHeight="1" x14ac:dyDescent="0.25">
      <c r="A60" s="8"/>
      <c r="B60" s="173" t="s">
        <v>544</v>
      </c>
      <c r="C60" s="218">
        <f>C53*Engine!$C$48/10000</f>
        <v>-3449.4444000000008</v>
      </c>
      <c r="D60" s="218">
        <f>((E40*Engine!$C$176+E41*Engine!$C$177+E42*Engine!$C$178+E43*Engine!$C$179)-(E44*Engine!$C$180+E45*Engine!$C$181+E46*Engine!$C$182))*ABS(Engine!$C$48)/10000*(1-Engine!$C$256)</f>
        <v>8019.2858449499981</v>
      </c>
      <c r="H60" s="8"/>
      <c r="I60" s="8"/>
      <c r="J60" s="8"/>
      <c r="K60" s="8"/>
      <c r="L60" s="8"/>
      <c r="M60" s="8"/>
      <c r="N60" s="8"/>
    </row>
    <row r="61" spans="1:19" ht="15" customHeight="1" x14ac:dyDescent="0.25">
      <c r="A61" s="8"/>
      <c r="B61" s="173" t="s">
        <v>232</v>
      </c>
      <c r="C61" s="218">
        <f>C53*Engine!$C$49/10000</f>
        <v>9581.7900000000027</v>
      </c>
      <c r="D61" s="218">
        <f>(E40*Engine!$C$176+E41*Engine!$C$177+E42*Engine!$C$178+E43*Engine!$C$179)*Engine!$C$49/10000*(1-Engine!$C$256)</f>
        <v>196.74831375000031</v>
      </c>
      <c r="H61" s="8"/>
      <c r="I61" s="8"/>
      <c r="J61" s="8"/>
      <c r="K61" s="8"/>
      <c r="L61" s="8"/>
      <c r="M61" s="8"/>
      <c r="N61" s="8"/>
    </row>
    <row r="62" spans="1:19" ht="15" customHeight="1" x14ac:dyDescent="0.25">
      <c r="A62" s="8"/>
      <c r="B62" s="173" t="s">
        <v>235</v>
      </c>
      <c r="C62" s="218">
        <f>C53*Engine!$C$50/10000*Engine!$C$184</f>
        <v>-8144.5215000000017</v>
      </c>
      <c r="D62" s="218">
        <f>(E40*Engine!$C$176+E41*Engine!$C$177+E42*Engine!$C$178+E43*Engine!$C$179)*ABS(Engine!$C$50)/10000*(-Engine!$C$184)*(1-Engine!$C$256)</f>
        <v>-167.23606668750026</v>
      </c>
      <c r="H62" s="8"/>
      <c r="I62" s="8"/>
      <c r="J62" s="8"/>
      <c r="K62" s="8"/>
      <c r="L62" s="8"/>
      <c r="M62" s="8"/>
      <c r="N62" s="8"/>
    </row>
    <row r="63" spans="1:19" ht="15" customHeight="1" x14ac:dyDescent="0.25">
      <c r="A63" s="8"/>
      <c r="B63" s="49" t="str">
        <f>IF(MAX(ABS(D57),ABS(D58),ABS(D59),ABS(D60),ABS(D61),ABS(D62))/Engine!D145&gt;Engine!C51,"⛔ EVE OUTLIER: "&amp;TEXT(MAX(ABS(D57),ABS(D58),ABS(D59),ABS(D60),ABS(D61),ABS(D62))/Engine!D145,"0.0%")&amp;" &gt; 15%","EVE OK: "&amp;TEXT(MAX(ABS(D57),ABS(D58),ABS(D59),ABS(D60),ABS(D61),ABS(D62))/Engine!D145,"0.0%"))</f>
        <v>EVE OK: 13.2%</v>
      </c>
      <c r="H63" s="8"/>
      <c r="I63" s="8"/>
      <c r="J63" s="8"/>
      <c r="K63" s="8"/>
      <c r="L63" s="8"/>
      <c r="M63" s="8"/>
      <c r="N63" s="8"/>
    </row>
    <row r="64" spans="1:19" ht="15" customHeight="1" x14ac:dyDescent="0.25">
      <c r="A64" s="8"/>
      <c r="B64" s="173" t="str">
        <f>IF(ABS(C57)/C18&gt;Engine!C52,"NII sensitivity &gt;"&amp;TEXT(Engine!C52,"0%")&amp;": "&amp;TEXT(ABS(C57)/C18,"0.0%"),"NII OK: "&amp;TEXT(ABS(C57)/C18,"0.0%"))</f>
        <v>NII sensitivity &gt;5%: 34.7%</v>
      </c>
      <c r="H64" s="8"/>
      <c r="I64" s="8"/>
      <c r="J64" s="8"/>
      <c r="K64" s="8"/>
      <c r="L64" s="8"/>
      <c r="M64" s="8"/>
      <c r="N64" s="8"/>
    </row>
    <row r="65" spans="1:19" ht="15" customHeight="1" x14ac:dyDescent="0.25">
      <c r="A65" s="8"/>
      <c r="B65" s="173" t="s">
        <v>545</v>
      </c>
      <c r="C65" s="33" t="str">
        <f>IF(ABS(D57)=D65,B57,IF(ABS(D58)=D65,B58,IF(ABS(D59)=D65,B59,IF(ABS(D60)=D65,B60,IF(ABS(D61)=D65,B61,B62)))))</f>
        <v>Parallel Up +200bps</v>
      </c>
      <c r="D65" s="33">
        <f>MAX(ABS(D57),ABS(D58),ABS(D59),ABS(D60),ABS(D61),ABS(D62))</f>
        <v>17505.837908999994</v>
      </c>
      <c r="F65" s="8"/>
      <c r="G65" s="8"/>
      <c r="H65" s="8"/>
      <c r="I65" s="8"/>
      <c r="J65" s="8"/>
      <c r="K65" s="8"/>
      <c r="L65" s="8"/>
      <c r="M65" s="8"/>
      <c r="N65" s="8"/>
    </row>
    <row r="66" spans="1:19" ht="15" customHeight="1" x14ac:dyDescent="0.25">
      <c r="A66" s="8"/>
      <c r="B66" s="173" t="s">
        <v>546</v>
      </c>
      <c r="C66" s="33" t="str">
        <f>IF(ABS(C57)=D66,B57,IF(ABS(C58)=D66,B58,IF(ABS(C59)=D66,B59,IF(ABS(C60)=D66,B60,IF(ABS(C61)=D66,B61,B62)))))</f>
        <v>Short Rate Up</v>
      </c>
      <c r="D66" s="33">
        <f>MAX(ABS(C57),ABS(C58),ABS(C59),ABS(C60),ABS(C61),ABS(C62))</f>
        <v>9581.7900000000027</v>
      </c>
      <c r="F66" s="8"/>
      <c r="G66" s="8"/>
      <c r="H66" s="8"/>
      <c r="I66" s="8"/>
      <c r="J66" s="8"/>
      <c r="K66" s="8"/>
      <c r="L66" s="8"/>
      <c r="M66" s="8"/>
      <c r="N66" s="8"/>
    </row>
    <row r="67" spans="1:19" ht="15" customHeight="1" x14ac:dyDescent="0.25">
      <c r="A67" s="8"/>
      <c r="B67" s="7"/>
      <c r="C67" s="7"/>
      <c r="D67" s="7"/>
      <c r="F67" s="7"/>
      <c r="G67" s="7"/>
      <c r="H67" s="7"/>
      <c r="I67" s="8"/>
      <c r="J67" s="8"/>
      <c r="K67" s="8"/>
      <c r="L67" s="8"/>
      <c r="M67" s="8"/>
      <c r="N67" s="8"/>
    </row>
    <row r="68" spans="1:19" ht="15" customHeight="1" collapsed="1" thickBot="1" x14ac:dyDescent="0.3">
      <c r="A68" s="137"/>
      <c r="B68" s="206" t="s">
        <v>547</v>
      </c>
      <c r="C68" s="206"/>
      <c r="D68" s="206"/>
      <c r="E68" s="206"/>
      <c r="F68" s="206"/>
      <c r="G68" s="206"/>
      <c r="H68" s="206"/>
      <c r="I68" s="206"/>
      <c r="J68" s="206"/>
      <c r="K68" s="206"/>
      <c r="L68" s="140"/>
      <c r="M68" s="140"/>
      <c r="N68" s="140"/>
      <c r="O68" s="140"/>
      <c r="P68" s="140"/>
      <c r="Q68" s="140"/>
      <c r="R68" s="140"/>
      <c r="S68" s="140"/>
    </row>
    <row r="69" spans="1:19" ht="15" customHeight="1" x14ac:dyDescent="0.25">
      <c r="A69" s="8"/>
      <c r="B69" s="209" t="s">
        <v>530</v>
      </c>
      <c r="C69" s="210" t="s">
        <v>548</v>
      </c>
      <c r="D69" s="210" t="s">
        <v>51</v>
      </c>
      <c r="E69" s="210" t="s">
        <v>52</v>
      </c>
      <c r="F69" s="210" t="s">
        <v>53</v>
      </c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</row>
    <row r="70" spans="1:19" ht="15" customHeight="1" x14ac:dyDescent="0.25">
      <c r="A70" s="8"/>
      <c r="B70" s="173" t="s">
        <v>549</v>
      </c>
      <c r="C70" s="218">
        <f>Engine!D126</f>
        <v>211330</v>
      </c>
      <c r="D70" s="218">
        <f ca="1">Engine!E126*(1-Engine!$C$56)</f>
        <v>214325.3265915988</v>
      </c>
      <c r="E70" s="32">
        <f ca="1">Engine!F126*(1-Engine!$C$56)</f>
        <v>217157.60072309198</v>
      </c>
      <c r="F70" s="32">
        <f ca="1">Engine!G126*(1-Engine!$C$56)</f>
        <v>219876.42045560014</v>
      </c>
      <c r="H70" s="8"/>
      <c r="I70" s="8"/>
      <c r="J70" s="8"/>
      <c r="K70" s="8"/>
      <c r="L70" s="8"/>
      <c r="M70" s="8"/>
      <c r="N70" s="8"/>
    </row>
    <row r="71" spans="1:19" ht="15" customHeight="1" x14ac:dyDescent="0.25">
      <c r="A71" s="8"/>
      <c r="B71" s="173" t="s">
        <v>550</v>
      </c>
      <c r="C71" s="218">
        <f>Engine!D130*Engine!C38</f>
        <v>110237.04</v>
      </c>
      <c r="D71" s="218">
        <f>Engine!E130*Engine!$C$38*(1-Engine!$C$57)</f>
        <v>113544.15119999999</v>
      </c>
      <c r="E71" s="32">
        <f>Engine!F130*Engine!$C$38*(1-Engine!$C$57)</f>
        <v>116950.47573599999</v>
      </c>
      <c r="F71" s="32">
        <f>Engine!G130*Engine!$C$38*(1-Engine!$C$57)</f>
        <v>120458.99000808</v>
      </c>
      <c r="H71" s="8"/>
      <c r="I71" s="8"/>
      <c r="J71" s="8"/>
      <c r="K71" s="8"/>
      <c r="L71" s="8"/>
      <c r="M71" s="8"/>
      <c r="N71" s="8"/>
    </row>
    <row r="72" spans="1:19" ht="15" customHeight="1" x14ac:dyDescent="0.25">
      <c r="A72" s="8"/>
      <c r="B72" s="173" t="s">
        <v>551</v>
      </c>
      <c r="C72" s="218">
        <f>Engine!D130*Engine!C39</f>
        <v>42869.960000000006</v>
      </c>
      <c r="D72" s="218">
        <f>Engine!E130*Engine!$C$39*(1-Engine!$C$58)</f>
        <v>37532.649979999995</v>
      </c>
      <c r="E72" s="32">
        <f>Engine!F130*Engine!$C$39*(1-Engine!$C$58)</f>
        <v>38658.629479400006</v>
      </c>
      <c r="F72" s="32">
        <f>Engine!G130*Engine!$C$39*(1-Engine!$C$58)</f>
        <v>39818.388363782004</v>
      </c>
      <c r="H72" s="8"/>
      <c r="I72" s="8"/>
      <c r="J72" s="8"/>
      <c r="K72" s="8"/>
      <c r="L72" s="8"/>
      <c r="M72" s="8"/>
      <c r="N72" s="8"/>
    </row>
    <row r="73" spans="1:19" ht="15" customHeight="1" x14ac:dyDescent="0.25">
      <c r="A73" s="8"/>
      <c r="B73" s="174" t="s">
        <v>552</v>
      </c>
      <c r="C73" s="231">
        <f>0</f>
        <v>0</v>
      </c>
      <c r="D73" s="231">
        <f>0</f>
        <v>0</v>
      </c>
      <c r="E73" s="245">
        <f>0</f>
        <v>0</v>
      </c>
      <c r="F73" s="245">
        <f>0</f>
        <v>0</v>
      </c>
      <c r="H73" s="8"/>
      <c r="I73" s="8"/>
      <c r="J73" s="8"/>
      <c r="K73" s="8"/>
      <c r="L73" s="8"/>
      <c r="M73" s="8"/>
      <c r="N73" s="8"/>
    </row>
    <row r="74" spans="1:19" ht="15" customHeight="1" thickBot="1" x14ac:dyDescent="0.3">
      <c r="A74" s="8"/>
      <c r="B74" s="238" t="s">
        <v>553</v>
      </c>
      <c r="C74" s="234">
        <f>SUM(C70:C73)</f>
        <v>364437</v>
      </c>
      <c r="D74" s="234">
        <f ca="1">SUM(D70:D73)</f>
        <v>365402.12777159875</v>
      </c>
      <c r="E74" s="234">
        <f ca="1">SUM(E70:E73)</f>
        <v>372766.70593849197</v>
      </c>
      <c r="F74" s="234">
        <f ca="1">SUM(F70:F73)</f>
        <v>380153.79882746219</v>
      </c>
      <c r="G74" s="237"/>
      <c r="H74" s="237"/>
      <c r="I74" s="237"/>
      <c r="J74" s="237"/>
      <c r="K74" s="237"/>
      <c r="L74" s="237"/>
      <c r="M74" s="237"/>
      <c r="N74" s="237"/>
      <c r="O74" s="236"/>
      <c r="P74" s="236"/>
      <c r="Q74" s="236"/>
      <c r="R74" s="236"/>
      <c r="S74" s="236"/>
    </row>
    <row r="75" spans="1:19" ht="15" customHeight="1" x14ac:dyDescent="0.25">
      <c r="A75" s="8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</row>
    <row r="76" spans="1:19" ht="15" customHeight="1" thickBot="1" x14ac:dyDescent="0.3">
      <c r="A76" s="8"/>
      <c r="B76" s="298" t="s">
        <v>554</v>
      </c>
      <c r="C76" s="298"/>
      <c r="D76" s="298"/>
      <c r="E76" s="298"/>
      <c r="F76" s="298"/>
      <c r="G76" s="298"/>
      <c r="H76" s="298"/>
      <c r="I76" s="16"/>
      <c r="J76" s="16"/>
      <c r="K76" s="16"/>
      <c r="L76" s="8"/>
      <c r="M76" s="8"/>
      <c r="N76" s="8"/>
    </row>
    <row r="77" spans="1:19" ht="15" customHeight="1" x14ac:dyDescent="0.25">
      <c r="A77" s="8"/>
      <c r="B77" s="173" t="s">
        <v>555</v>
      </c>
      <c r="C77" s="218">
        <f>Engine!D136*0.7*Engine!C61</f>
        <v>37644.74</v>
      </c>
      <c r="D77" s="218">
        <f>Engine!E136*0.7*Engine!$C$61</f>
        <v>38585.858499999995</v>
      </c>
      <c r="E77" s="32">
        <f>Engine!F136*0.7*Engine!$C$61</f>
        <v>39550.504962499988</v>
      </c>
      <c r="F77" s="32">
        <f>Engine!G136*0.7*Engine!$C$61</f>
        <v>40539.267586562491</v>
      </c>
      <c r="H77" s="8"/>
      <c r="I77" s="8"/>
      <c r="J77" s="8"/>
      <c r="K77" s="8"/>
      <c r="L77" s="8"/>
      <c r="M77" s="8"/>
      <c r="N77" s="8"/>
    </row>
    <row r="78" spans="1:19" ht="15" customHeight="1" x14ac:dyDescent="0.25">
      <c r="A78" s="8"/>
      <c r="B78" s="173" t="s">
        <v>556</v>
      </c>
      <c r="C78" s="218">
        <f>Engine!D136*0.3*Engine!C62</f>
        <v>32266.920000000002</v>
      </c>
      <c r="D78" s="218">
        <f>Engine!E136*0.3*Engine!$C$62</f>
        <v>33073.592999999993</v>
      </c>
      <c r="E78" s="32">
        <f>Engine!F136*0.3*Engine!$C$62</f>
        <v>33900.432824999989</v>
      </c>
      <c r="F78" s="32">
        <f>Engine!G136*0.3*Engine!$C$62</f>
        <v>34747.94364562499</v>
      </c>
      <c r="H78" s="8"/>
      <c r="I78" s="8"/>
      <c r="J78" s="8"/>
      <c r="K78" s="8"/>
      <c r="L78" s="8"/>
      <c r="M78" s="8"/>
      <c r="N78" s="8"/>
    </row>
    <row r="79" spans="1:19" ht="15" customHeight="1" x14ac:dyDescent="0.25">
      <c r="A79" s="8"/>
      <c r="B79" s="173" t="s">
        <v>557</v>
      </c>
      <c r="C79" s="218">
        <f>Engine!D139*Engine!C63</f>
        <v>43483.25</v>
      </c>
      <c r="D79" s="218">
        <f>Engine!E139*Engine!$C$63</f>
        <v>43483.25</v>
      </c>
      <c r="E79" s="32">
        <f>Engine!F139*Engine!$C$63</f>
        <v>43483.25</v>
      </c>
      <c r="F79" s="32">
        <f>Engine!G139*Engine!$C$63</f>
        <v>43483.25</v>
      </c>
      <c r="H79" s="8"/>
      <c r="I79" s="8"/>
      <c r="J79" s="8"/>
      <c r="K79" s="8"/>
      <c r="L79" s="8"/>
      <c r="M79" s="8"/>
      <c r="N79" s="8"/>
    </row>
    <row r="80" spans="1:19" ht="15" customHeight="1" x14ac:dyDescent="0.25">
      <c r="A80" s="8"/>
      <c r="B80" s="173" t="s">
        <v>558</v>
      </c>
      <c r="C80" s="218">
        <f>Engine!D137*Engine!C64</f>
        <v>69938</v>
      </c>
      <c r="D80" s="218">
        <f>Engine!E137*Engine!$C$64</f>
        <v>69938</v>
      </c>
      <c r="E80" s="32">
        <f>Engine!F137*Engine!$C$64</f>
        <v>69938</v>
      </c>
      <c r="F80" s="32">
        <f>Engine!G137*Engine!$C$64</f>
        <v>69938</v>
      </c>
      <c r="H80" s="8"/>
      <c r="I80" s="8"/>
      <c r="J80" s="8"/>
      <c r="K80" s="8"/>
      <c r="L80" s="8"/>
      <c r="M80" s="8"/>
      <c r="N80" s="8"/>
    </row>
    <row r="81" spans="1:19" ht="15" customHeight="1" x14ac:dyDescent="0.25">
      <c r="A81" s="8"/>
      <c r="B81" s="173" t="s">
        <v>559</v>
      </c>
      <c r="C81" s="218">
        <f>Engine!D138*Engine!C38*Engine!C65</f>
        <v>0</v>
      </c>
      <c r="D81" s="218">
        <f>Engine!E138*Engine!$C$38*Engine!$C$65</f>
        <v>0</v>
      </c>
      <c r="E81" s="32">
        <f>Engine!F138*Engine!$C$38*Engine!$C$65</f>
        <v>0</v>
      </c>
      <c r="F81" s="32">
        <f>Engine!G138*Engine!$C$38*Engine!$C$65</f>
        <v>0</v>
      </c>
      <c r="H81" s="8"/>
      <c r="I81" s="8"/>
      <c r="J81" s="8"/>
      <c r="K81" s="8"/>
      <c r="L81" s="8"/>
      <c r="M81" s="8"/>
      <c r="N81" s="8"/>
    </row>
    <row r="82" spans="1:19" ht="15" customHeight="1" x14ac:dyDescent="0.25">
      <c r="A82" s="8"/>
      <c r="B82" s="173" t="s">
        <v>560</v>
      </c>
      <c r="C82" s="218">
        <f>Engine!D138*Engine!C39*Engine!C66</f>
        <v>15033.773999999999</v>
      </c>
      <c r="D82" s="218">
        <f>Engine!E138*Engine!$C$39*Engine!$C$66</f>
        <v>15033.773999999999</v>
      </c>
      <c r="E82" s="32">
        <f>Engine!F138*Engine!$C$39*Engine!$C$66</f>
        <v>15033.773999999999</v>
      </c>
      <c r="F82" s="32">
        <f>Engine!G138*Engine!$C$39*Engine!$C$66</f>
        <v>15033.773999999999</v>
      </c>
      <c r="H82" s="8"/>
      <c r="I82" s="8"/>
      <c r="J82" s="8"/>
      <c r="K82" s="8"/>
      <c r="L82" s="8"/>
      <c r="M82" s="8"/>
      <c r="N82" s="8"/>
    </row>
    <row r="83" spans="1:19" ht="15" customHeight="1" x14ac:dyDescent="0.25">
      <c r="A83" s="8"/>
      <c r="B83" s="173" t="s">
        <v>561</v>
      </c>
      <c r="C83" s="218">
        <f>Engine!D126*Engine!$C$186*Engine!$C$68</f>
        <v>7924.875</v>
      </c>
      <c r="D83" s="218">
        <f ca="1">Engine!E126*0.15*Engine!$C$68</f>
        <v>8037.1997471849545</v>
      </c>
      <c r="E83" s="32">
        <f ca="1">Engine!F126*0.15*Engine!$C$68</f>
        <v>8143.4100271159487</v>
      </c>
      <c r="F83" s="32">
        <f ca="1">Engine!G126*0.15*Engine!$C$68</f>
        <v>8245.3657670850043</v>
      </c>
      <c r="H83" s="8"/>
      <c r="I83" s="8"/>
      <c r="J83" s="8"/>
      <c r="K83" s="8"/>
      <c r="L83" s="8"/>
      <c r="M83" s="8"/>
      <c r="N83" s="8"/>
    </row>
    <row r="84" spans="1:19" ht="15" customHeight="1" x14ac:dyDescent="0.25">
      <c r="A84" s="8"/>
      <c r="B84" s="174" t="s">
        <v>562</v>
      </c>
      <c r="C84" s="231">
        <f>Engine!D128*Engine!C67</f>
        <v>89735.8</v>
      </c>
      <c r="D84" s="231">
        <f>Engine!E128*Engine!$C$67</f>
        <v>92427.874000000011</v>
      </c>
      <c r="E84" s="239">
        <f>Engine!F128*Engine!$C$67</f>
        <v>95200.710220000008</v>
      </c>
      <c r="F84" s="239">
        <f>Engine!G128*Engine!$C$67</f>
        <v>98056.731526600008</v>
      </c>
      <c r="H84" s="8"/>
      <c r="I84" s="8"/>
      <c r="J84" s="8"/>
      <c r="K84" s="8"/>
      <c r="L84" s="8"/>
      <c r="M84" s="8"/>
      <c r="N84" s="8"/>
    </row>
    <row r="85" spans="1:19" ht="15" customHeight="1" thickBot="1" x14ac:dyDescent="0.3">
      <c r="A85" s="8"/>
      <c r="B85" s="238" t="s">
        <v>563</v>
      </c>
      <c r="C85" s="234">
        <f>SUM(C77:C84)</f>
        <v>296027.359</v>
      </c>
      <c r="D85" s="234">
        <f ca="1">SUM(D77:D84)</f>
        <v>300579.549247185</v>
      </c>
      <c r="E85" s="234">
        <f ca="1">SUM(E77:E84)</f>
        <v>305250.08203461592</v>
      </c>
      <c r="F85" s="234">
        <f ca="1">SUM(F77:F84)</f>
        <v>310044.33252587251</v>
      </c>
      <c r="G85" s="236"/>
      <c r="H85" s="237"/>
      <c r="I85" s="237"/>
      <c r="J85" s="237"/>
      <c r="K85" s="237"/>
      <c r="L85" s="237"/>
      <c r="M85" s="237"/>
      <c r="N85" s="237"/>
      <c r="O85" s="236"/>
      <c r="P85" s="236"/>
      <c r="Q85" s="236"/>
      <c r="R85" s="236"/>
      <c r="S85" s="236"/>
    </row>
    <row r="86" spans="1:19" ht="15" customHeight="1" x14ac:dyDescent="0.25">
      <c r="A86" s="8"/>
      <c r="B86" s="7"/>
      <c r="C86" s="7"/>
      <c r="D86" s="7"/>
      <c r="E86" s="7"/>
      <c r="F86" s="7"/>
      <c r="H86" s="7"/>
      <c r="I86" s="8"/>
      <c r="J86" s="8"/>
      <c r="K86" s="8"/>
      <c r="L86" s="8"/>
      <c r="M86" s="8"/>
      <c r="N86" s="8"/>
    </row>
    <row r="87" spans="1:19" ht="15" customHeight="1" x14ac:dyDescent="0.25">
      <c r="A87" s="8"/>
      <c r="B87" s="298" t="s">
        <v>564</v>
      </c>
      <c r="C87" s="298"/>
      <c r="D87" s="298"/>
      <c r="E87" s="298"/>
      <c r="F87" s="298"/>
      <c r="G87" s="298"/>
      <c r="H87" s="298"/>
      <c r="I87" s="8"/>
      <c r="J87" s="8"/>
      <c r="K87" s="8"/>
      <c r="L87" s="8"/>
      <c r="M87" s="8"/>
      <c r="N87" s="8"/>
    </row>
    <row r="88" spans="1:19" ht="15" customHeight="1" x14ac:dyDescent="0.25">
      <c r="A88" s="8"/>
      <c r="B88" s="173" t="s">
        <v>565</v>
      </c>
      <c r="C88" s="32">
        <f>Engine!D128*0.1*Engine!C69</f>
        <v>44867.9</v>
      </c>
      <c r="D88" s="50">
        <f>Engine!E128*0.1*Engine!$C$69</f>
        <v>46213.937000000005</v>
      </c>
      <c r="E88" s="32">
        <f>Engine!F128*0.1*Engine!$C$69</f>
        <v>47600.355110000004</v>
      </c>
      <c r="F88" s="32">
        <f>Engine!G128*0.1*Engine!$C$69</f>
        <v>49028.365763300004</v>
      </c>
      <c r="H88" s="8"/>
      <c r="I88" s="8"/>
      <c r="J88" s="8"/>
      <c r="K88" s="8"/>
      <c r="L88" s="8"/>
      <c r="M88" s="8"/>
      <c r="N88" s="8"/>
    </row>
    <row r="89" spans="1:19" ht="15" customHeight="1" x14ac:dyDescent="0.25">
      <c r="A89" s="8"/>
      <c r="B89" s="173" t="s">
        <v>566</v>
      </c>
      <c r="C89" s="32">
        <f ca="1">(E70+E71)*0.05*Engine!C70</f>
        <v>16705.403822954599</v>
      </c>
      <c r="D89" s="50">
        <f ca="1">(D70+D71)*0.05*Engine!$C$70</f>
        <v>16393.473889579938</v>
      </c>
      <c r="E89" s="32">
        <f ca="1">(E70+E71)*0.05*Engine!$C$70</f>
        <v>16705.403822954599</v>
      </c>
      <c r="F89" s="32">
        <f ca="1">(F70+F71)*0.05*Engine!$C$70</f>
        <v>17016.770523184008</v>
      </c>
      <c r="H89" s="8"/>
      <c r="I89" s="8"/>
      <c r="J89" s="8"/>
      <c r="K89" s="8"/>
      <c r="L89" s="8"/>
      <c r="M89" s="8"/>
      <c r="N89" s="8"/>
    </row>
    <row r="90" spans="1:19" ht="15" customHeight="1" thickBot="1" x14ac:dyDescent="0.3">
      <c r="A90" s="8"/>
      <c r="B90" s="213" t="s">
        <v>567</v>
      </c>
      <c r="C90" s="221">
        <f ca="1">SUM(C88:C89)</f>
        <v>61573.3038229546</v>
      </c>
      <c r="D90" s="218">
        <f ca="1">SUM(D88:D89)</f>
        <v>62607.410889579944</v>
      </c>
      <c r="E90" s="33">
        <f ca="1">SUM(E88:E89)</f>
        <v>64305.758932954603</v>
      </c>
      <c r="F90" s="33">
        <f ca="1">SUM(F88:F89)</f>
        <v>66045.136286484019</v>
      </c>
      <c r="H90" s="8"/>
      <c r="I90" s="8"/>
      <c r="J90" s="8"/>
      <c r="K90" s="8"/>
      <c r="L90" s="8"/>
      <c r="M90" s="8"/>
      <c r="N90" s="8"/>
    </row>
    <row r="91" spans="1:19" ht="15" customHeight="1" x14ac:dyDescent="0.25">
      <c r="A91" s="8"/>
      <c r="B91" s="173" t="s">
        <v>568</v>
      </c>
      <c r="C91" s="218">
        <f ca="1">MIN(C90,C85*Engine!C71)</f>
        <v>61573.3038229546</v>
      </c>
      <c r="D91" s="218">
        <f ca="1">MIN(D90,D85*Engine!$C$71)</f>
        <v>62607.410889579944</v>
      </c>
      <c r="E91" s="32">
        <f ca="1">MIN(E90,E85*Engine!$C$71)</f>
        <v>64305.758932954603</v>
      </c>
      <c r="F91" s="32">
        <f ca="1">MIN(F90,F85*Engine!$C$71)</f>
        <v>66045.136286484019</v>
      </c>
      <c r="H91" s="8"/>
      <c r="I91" s="8"/>
      <c r="J91" s="8"/>
      <c r="K91" s="8"/>
      <c r="L91" s="8"/>
      <c r="M91" s="8"/>
      <c r="N91" s="8"/>
    </row>
    <row r="92" spans="1:19" ht="15" customHeight="1" x14ac:dyDescent="0.25">
      <c r="A92" s="8"/>
      <c r="B92" s="174" t="s">
        <v>569</v>
      </c>
      <c r="C92" s="233">
        <f ca="1">C85-C91</f>
        <v>234454.0551770454</v>
      </c>
      <c r="D92" s="233">
        <f ca="1">D85-D91</f>
        <v>237972.13835760506</v>
      </c>
      <c r="E92" s="245">
        <f ca="1">E85-E91</f>
        <v>240944.32310166131</v>
      </c>
      <c r="F92" s="245">
        <f ca="1">F85-F91</f>
        <v>243999.19623938849</v>
      </c>
      <c r="H92" s="8"/>
      <c r="I92" s="8"/>
      <c r="J92" s="8"/>
      <c r="K92" s="8"/>
      <c r="L92" s="8"/>
      <c r="M92" s="8"/>
      <c r="N92" s="8"/>
    </row>
    <row r="93" spans="1:19" ht="15" customHeight="1" x14ac:dyDescent="0.25">
      <c r="A93" s="8"/>
      <c r="B93" s="246" t="s">
        <v>570</v>
      </c>
      <c r="C93" s="247">
        <f ca="1">C74/C92</f>
        <v>1.554406895307481</v>
      </c>
      <c r="D93" s="247">
        <f ca="1">D74/D92</f>
        <v>1.5354828102712694</v>
      </c>
      <c r="E93" s="247">
        <f ca="1">E74/E92</f>
        <v>1.5471072368084431</v>
      </c>
      <c r="F93" s="247">
        <f ca="1">F74/F92</f>
        <v>1.5580125044940392</v>
      </c>
      <c r="G93" s="236"/>
      <c r="H93" s="237"/>
      <c r="I93" s="237"/>
      <c r="J93" s="237"/>
      <c r="K93" s="237"/>
      <c r="L93" s="237"/>
      <c r="M93" s="237"/>
      <c r="N93" s="237"/>
      <c r="O93" s="236"/>
      <c r="P93" s="236"/>
      <c r="Q93" s="236"/>
      <c r="R93" s="236"/>
      <c r="S93" s="236"/>
    </row>
    <row r="94" spans="1:19" ht="1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9" ht="15" customHeight="1" x14ac:dyDescent="0.25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9" ht="15" customHeight="1" collapsed="1" thickBot="1" x14ac:dyDescent="0.3">
      <c r="A96" s="137"/>
      <c r="B96" s="206" t="s">
        <v>571</v>
      </c>
      <c r="C96" s="206"/>
      <c r="D96" s="206"/>
      <c r="E96" s="206"/>
      <c r="F96" s="206"/>
      <c r="G96" s="206"/>
      <c r="H96" s="206"/>
      <c r="I96" s="206"/>
      <c r="J96" s="206"/>
      <c r="K96" s="206"/>
      <c r="L96" s="140"/>
      <c r="M96" s="140"/>
      <c r="N96" s="140"/>
      <c r="O96" s="140"/>
      <c r="P96" s="140"/>
      <c r="Q96" s="140"/>
      <c r="R96" s="140"/>
      <c r="S96" s="140"/>
    </row>
    <row r="97" spans="1:19" ht="15" customHeight="1" x14ac:dyDescent="0.25">
      <c r="A97" s="8"/>
      <c r="B97" s="137" t="s">
        <v>572</v>
      </c>
      <c r="C97" s="304" t="s">
        <v>50</v>
      </c>
      <c r="D97" s="304"/>
      <c r="E97" s="304" t="s">
        <v>51</v>
      </c>
      <c r="F97" s="304"/>
      <c r="G97" s="304" t="s">
        <v>52</v>
      </c>
      <c r="H97" s="304"/>
      <c r="I97" s="304" t="s">
        <v>53</v>
      </c>
      <c r="J97" s="304"/>
      <c r="K97" s="140"/>
      <c r="L97" s="140"/>
      <c r="M97" s="140"/>
      <c r="N97" s="140"/>
      <c r="O97" s="140"/>
      <c r="P97" s="140"/>
      <c r="Q97" s="140"/>
      <c r="R97" s="140"/>
      <c r="S97" s="140"/>
    </row>
    <row r="98" spans="1:19" ht="15" customHeight="1" x14ac:dyDescent="0.25">
      <c r="A98" s="8"/>
      <c r="B98" s="173" t="s">
        <v>573</v>
      </c>
      <c r="C98" s="218">
        <f>Engine!D145</f>
        <v>132173</v>
      </c>
      <c r="D98" s="218">
        <f>C98*Engine!C75</f>
        <v>132173</v>
      </c>
      <c r="E98" s="32">
        <f ca="1">Engine!E145</f>
        <v>136650.416591599</v>
      </c>
      <c r="F98" s="32">
        <f ca="1">E98*Engine!$C$75</f>
        <v>136650.416591599</v>
      </c>
      <c r="G98" s="32">
        <f ca="1">Engine!F145</f>
        <v>141206.54412309211</v>
      </c>
      <c r="H98" s="32">
        <f ca="1">G98*Engine!$C$75</f>
        <v>141206.54412309211</v>
      </c>
      <c r="I98" s="32">
        <f ca="1">Engine!G145</f>
        <v>145902.22324710042</v>
      </c>
      <c r="J98" s="32">
        <f ca="1">I98*Engine!$C$75</f>
        <v>145902.22324710042</v>
      </c>
      <c r="K98" s="8"/>
      <c r="L98" s="8"/>
      <c r="M98" s="8"/>
      <c r="N98" s="8"/>
    </row>
    <row r="99" spans="1:19" ht="15" customHeight="1" x14ac:dyDescent="0.25">
      <c r="A99" s="8"/>
      <c r="B99" s="173" t="s">
        <v>574</v>
      </c>
      <c r="C99" s="218">
        <f>Engine!D136*0.7</f>
        <v>752894.79999999993</v>
      </c>
      <c r="D99" s="218">
        <f>C99*Engine!C76</f>
        <v>677605.32</v>
      </c>
      <c r="E99" s="32">
        <f>Engine!E136*0.7</f>
        <v>771717.16999999981</v>
      </c>
      <c r="F99" s="32">
        <f>E99*Engine!$C$76</f>
        <v>694545.45299999986</v>
      </c>
      <c r="G99" s="32">
        <f>Engine!F136*0.7</f>
        <v>791010.09924999974</v>
      </c>
      <c r="H99" s="32">
        <f>G99*Engine!$C$76</f>
        <v>711909.08932499983</v>
      </c>
      <c r="I99" s="32">
        <f>Engine!G136*0.7</f>
        <v>810785.35173124971</v>
      </c>
      <c r="J99" s="32">
        <f>I99*Engine!$C$76</f>
        <v>729706.81655812473</v>
      </c>
      <c r="K99" s="8"/>
      <c r="L99" s="8"/>
      <c r="M99" s="8"/>
      <c r="N99" s="8"/>
    </row>
    <row r="100" spans="1:19" ht="15" customHeight="1" x14ac:dyDescent="0.25">
      <c r="A100" s="8"/>
      <c r="B100" s="173" t="s">
        <v>575</v>
      </c>
      <c r="C100" s="218">
        <f>Engine!D136*0.3</f>
        <v>322669.2</v>
      </c>
      <c r="D100" s="218">
        <f>C100*Engine!C77</f>
        <v>258135.36000000002</v>
      </c>
      <c r="E100" s="32">
        <f>Engine!E136*0.3</f>
        <v>330735.92999999993</v>
      </c>
      <c r="F100" s="32">
        <f>E100*Engine!$C$77</f>
        <v>264588.74399999995</v>
      </c>
      <c r="G100" s="32">
        <f>Engine!F136*0.3</f>
        <v>339004.3282499999</v>
      </c>
      <c r="H100" s="32">
        <f>G100*Engine!$C$77</f>
        <v>271203.46259999991</v>
      </c>
      <c r="I100" s="32">
        <f>Engine!G136*0.3</f>
        <v>347479.43645624985</v>
      </c>
      <c r="J100" s="32">
        <f>I100*Engine!$C$77</f>
        <v>277983.54916499992</v>
      </c>
      <c r="K100" s="8"/>
      <c r="L100" s="8"/>
      <c r="M100" s="8"/>
      <c r="N100" s="8"/>
    </row>
    <row r="101" spans="1:19" ht="15" customHeight="1" x14ac:dyDescent="0.25">
      <c r="A101" s="8"/>
      <c r="B101" s="173" t="s">
        <v>576</v>
      </c>
      <c r="C101" s="218">
        <f>Engine!D139</f>
        <v>173933</v>
      </c>
      <c r="D101" s="218">
        <f>C101*Engine!C78</f>
        <v>173933</v>
      </c>
      <c r="E101" s="32">
        <f>Engine!E139</f>
        <v>173933</v>
      </c>
      <c r="F101" s="32">
        <f>E101*Engine!$C$78</f>
        <v>173933</v>
      </c>
      <c r="G101" s="32">
        <f>Engine!F139</f>
        <v>173933</v>
      </c>
      <c r="H101" s="32">
        <f>G101*Engine!$C$78</f>
        <v>173933</v>
      </c>
      <c r="I101" s="32">
        <f>Engine!G139</f>
        <v>173933</v>
      </c>
      <c r="J101" s="32">
        <f>I101*Engine!$C$78</f>
        <v>173933</v>
      </c>
      <c r="K101" s="8"/>
      <c r="L101" s="8"/>
      <c r="M101" s="8"/>
      <c r="N101" s="8"/>
    </row>
    <row r="102" spans="1:19" ht="15" customHeight="1" x14ac:dyDescent="0.25">
      <c r="A102" s="8"/>
      <c r="B102" s="173" t="s">
        <v>577</v>
      </c>
      <c r="C102" s="218">
        <f>Engine!D140</f>
        <v>34468</v>
      </c>
      <c r="D102" s="218">
        <f>C102*Engine!C82</f>
        <v>17234</v>
      </c>
      <c r="E102" s="32">
        <f>Engine!E140</f>
        <v>34468</v>
      </c>
      <c r="F102" s="32">
        <f>E102*Engine!$C$82</f>
        <v>17234</v>
      </c>
      <c r="G102" s="32">
        <f>Engine!F140</f>
        <v>34468</v>
      </c>
      <c r="H102" s="32">
        <f>G102*Engine!$C$82</f>
        <v>17234</v>
      </c>
      <c r="I102" s="32">
        <f>Engine!G140</f>
        <v>34468</v>
      </c>
      <c r="J102" s="32">
        <f>I102*Engine!$C$82</f>
        <v>17234</v>
      </c>
      <c r="K102" s="8"/>
      <c r="L102" s="8"/>
      <c r="M102" s="8"/>
      <c r="N102" s="8"/>
    </row>
    <row r="103" spans="1:19" ht="15" customHeight="1" x14ac:dyDescent="0.25">
      <c r="A103" s="8"/>
      <c r="B103" s="173" t="s">
        <v>578</v>
      </c>
      <c r="C103" s="218">
        <f>Engine!D137</f>
        <v>69938</v>
      </c>
      <c r="D103" s="218">
        <f>C103*Engine!C80</f>
        <v>0</v>
      </c>
      <c r="E103" s="32">
        <f>Engine!E137</f>
        <v>69938</v>
      </c>
      <c r="F103" s="32">
        <f>E103*Engine!$C$80</f>
        <v>0</v>
      </c>
      <c r="G103" s="32">
        <f>Engine!F137</f>
        <v>69938</v>
      </c>
      <c r="H103" s="32">
        <f>G103*Engine!$C$80</f>
        <v>0</v>
      </c>
      <c r="I103" s="32">
        <f>Engine!G137</f>
        <v>69938</v>
      </c>
      <c r="J103" s="32">
        <f>I103*Engine!$C$80</f>
        <v>0</v>
      </c>
      <c r="K103" s="8"/>
      <c r="L103" s="8"/>
      <c r="M103" s="8"/>
      <c r="N103" s="8"/>
    </row>
    <row r="104" spans="1:19" ht="15" customHeight="1" x14ac:dyDescent="0.25">
      <c r="A104" s="8"/>
      <c r="B104" s="173" t="s">
        <v>579</v>
      </c>
      <c r="C104" s="218">
        <f>Engine!D138</f>
        <v>357947</v>
      </c>
      <c r="D104" s="218">
        <f>C104*Engine!C81</f>
        <v>35794.700000000004</v>
      </c>
      <c r="E104" s="32">
        <f>Engine!E138</f>
        <v>357947</v>
      </c>
      <c r="F104" s="32">
        <f>E104*Engine!$C$81</f>
        <v>35794.700000000004</v>
      </c>
      <c r="G104" s="32">
        <f>Engine!F138</f>
        <v>357947</v>
      </c>
      <c r="H104" s="32">
        <f>G104*Engine!$C$81</f>
        <v>35794.700000000004</v>
      </c>
      <c r="I104" s="32">
        <f>Engine!G138</f>
        <v>357947</v>
      </c>
      <c r="J104" s="32">
        <f>I104*Engine!$C$81</f>
        <v>35794.700000000004</v>
      </c>
      <c r="K104" s="8"/>
      <c r="L104" s="8"/>
      <c r="M104" s="8"/>
      <c r="N104" s="8"/>
    </row>
    <row r="105" spans="1:19" ht="15" customHeight="1" x14ac:dyDescent="0.25">
      <c r="A105" s="8"/>
      <c r="B105" s="174" t="s">
        <v>580</v>
      </c>
      <c r="C105" s="231">
        <f>'Master Balance Sheet'!D25</f>
        <v>4401</v>
      </c>
      <c r="D105" s="231">
        <f>C105*Engine!C83</f>
        <v>0</v>
      </c>
      <c r="E105" s="248">
        <f>'Master Balance Sheet'!D25</f>
        <v>4401</v>
      </c>
      <c r="F105" s="239">
        <f>E105*Engine!$C$83</f>
        <v>0</v>
      </c>
      <c r="G105" s="248">
        <f>'Master Balance Sheet'!D25</f>
        <v>4401</v>
      </c>
      <c r="H105" s="239">
        <f>G105*Engine!$C$83</f>
        <v>0</v>
      </c>
      <c r="I105" s="248">
        <f>'Master Balance Sheet'!D25</f>
        <v>4401</v>
      </c>
      <c r="J105" s="239">
        <f>I105*Engine!$C$83</f>
        <v>0</v>
      </c>
      <c r="K105" s="8"/>
      <c r="L105" s="8"/>
      <c r="M105" s="8"/>
      <c r="N105" s="8"/>
    </row>
    <row r="106" spans="1:19" ht="15" customHeight="1" thickBot="1" x14ac:dyDescent="0.3">
      <c r="A106" s="8"/>
      <c r="B106" s="238" t="s">
        <v>581</v>
      </c>
      <c r="C106" s="234">
        <f>SUM(C98:C105)</f>
        <v>1848424</v>
      </c>
      <c r="D106" s="234">
        <f>SUM(D98:D105)</f>
        <v>1294875.3799999999</v>
      </c>
      <c r="E106" s="249"/>
      <c r="F106" s="234">
        <f ca="1">SUM(F98:F105)</f>
        <v>1322746.3135915988</v>
      </c>
      <c r="G106" s="249"/>
      <c r="H106" s="234">
        <f ca="1">SUM(H98:H105)</f>
        <v>1351280.7960480917</v>
      </c>
      <c r="I106" s="249"/>
      <c r="J106" s="234">
        <f ca="1">SUM(J98:J105)</f>
        <v>1380554.288970225</v>
      </c>
      <c r="K106" s="237"/>
      <c r="L106" s="237"/>
      <c r="M106" s="237"/>
      <c r="N106" s="237"/>
      <c r="O106" s="236"/>
      <c r="P106" s="236"/>
      <c r="Q106" s="236"/>
      <c r="R106" s="236"/>
      <c r="S106" s="236"/>
    </row>
    <row r="107" spans="1:19" ht="15" customHeight="1" x14ac:dyDescent="0.25">
      <c r="A107" s="8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</row>
    <row r="108" spans="1:19" ht="15" customHeight="1" x14ac:dyDescent="0.25">
      <c r="A108" s="8"/>
      <c r="B108" s="137" t="s">
        <v>582</v>
      </c>
      <c r="C108" s="304" t="s">
        <v>50</v>
      </c>
      <c r="D108" s="304"/>
      <c r="E108" s="304" t="s">
        <v>51</v>
      </c>
      <c r="F108" s="304"/>
      <c r="G108" s="304" t="s">
        <v>52</v>
      </c>
      <c r="H108" s="304"/>
      <c r="I108" s="304" t="s">
        <v>53</v>
      </c>
      <c r="J108" s="304"/>
      <c r="K108" s="140"/>
      <c r="L108" s="140"/>
      <c r="M108" s="140"/>
      <c r="N108" s="140"/>
      <c r="O108" s="140"/>
      <c r="P108" s="140"/>
      <c r="Q108" s="140"/>
      <c r="R108" s="140"/>
      <c r="S108" s="140"/>
    </row>
    <row r="109" spans="1:19" ht="15" customHeight="1" x14ac:dyDescent="0.25">
      <c r="A109" s="8"/>
      <c r="B109" s="173" t="s">
        <v>583</v>
      </c>
      <c r="C109" s="218">
        <f>Engine!D128</f>
        <v>897358</v>
      </c>
      <c r="D109" s="218">
        <f>Engine!D128*Engine!$C$188*Engine!$C$84+Engine!D128*(1-Engine!$C$188)*Engine!$C$85</f>
        <v>684235.47499999998</v>
      </c>
      <c r="E109" s="32">
        <f>Engine!E128</f>
        <v>924278.74</v>
      </c>
      <c r="F109" s="32">
        <f>E109*Engine!$C$84</f>
        <v>785636.929</v>
      </c>
      <c r="G109" s="32">
        <f>Engine!F128</f>
        <v>952007.10219999996</v>
      </c>
      <c r="H109" s="32">
        <f>G109*Engine!$C$84</f>
        <v>809206.03686999995</v>
      </c>
      <c r="I109" s="32">
        <f>Engine!G128</f>
        <v>980567.31526599999</v>
      </c>
      <c r="J109" s="32">
        <f>I109*Engine!$C$84</f>
        <v>833482.21797609993</v>
      </c>
      <c r="K109" s="8"/>
      <c r="L109" s="8"/>
      <c r="M109" s="8"/>
      <c r="N109" s="8"/>
    </row>
    <row r="110" spans="1:19" ht="15" customHeight="1" x14ac:dyDescent="0.25">
      <c r="A110" s="8"/>
      <c r="B110" s="173" t="s">
        <v>584</v>
      </c>
      <c r="C110" s="218">
        <f>Engine!D130*Engine!C38</f>
        <v>110237.04</v>
      </c>
      <c r="D110" s="218">
        <f>C110*Engine!C86</f>
        <v>5511.8519999999999</v>
      </c>
      <c r="E110" s="32">
        <f>Engine!E130*Engine!$C$38</f>
        <v>113544.15119999999</v>
      </c>
      <c r="F110" s="32">
        <f>E110*Engine!$C$86</f>
        <v>5677.2075599999998</v>
      </c>
      <c r="G110" s="32">
        <f>Engine!F130*Engine!$C$38</f>
        <v>116950.47573599999</v>
      </c>
      <c r="H110" s="32">
        <f>G110*Engine!$C$86</f>
        <v>5847.5237868000004</v>
      </c>
      <c r="I110" s="32">
        <f>Engine!G130*Engine!$C$38</f>
        <v>120458.99000808</v>
      </c>
      <c r="J110" s="32">
        <f>I110*Engine!$C$86</f>
        <v>6022.949500404</v>
      </c>
      <c r="K110" s="8"/>
      <c r="L110" s="8"/>
      <c r="M110" s="8"/>
      <c r="N110" s="8"/>
    </row>
    <row r="111" spans="1:19" ht="15" customHeight="1" x14ac:dyDescent="0.25">
      <c r="A111" s="8"/>
      <c r="B111" s="173" t="s">
        <v>585</v>
      </c>
      <c r="C111" s="218">
        <f>Engine!D130*Engine!C39</f>
        <v>42869.960000000006</v>
      </c>
      <c r="D111" s="218">
        <f>C111*Engine!C87</f>
        <v>6430.4940000000006</v>
      </c>
      <c r="E111" s="32">
        <f>Engine!E130*Engine!$C$39</f>
        <v>44156.058799999999</v>
      </c>
      <c r="F111" s="32">
        <f>E111*Engine!$C$87</f>
        <v>6623.4088199999997</v>
      </c>
      <c r="G111" s="32">
        <f>Engine!F130*Engine!$C$39</f>
        <v>45480.740564000007</v>
      </c>
      <c r="H111" s="32">
        <f>G111*Engine!$C$87</f>
        <v>6822.111084600001</v>
      </c>
      <c r="I111" s="32">
        <f>Engine!G130*Engine!$C$39</f>
        <v>46845.162780920007</v>
      </c>
      <c r="J111" s="32">
        <f>I111*Engine!$C$87</f>
        <v>7026.7744171380009</v>
      </c>
      <c r="K111" s="8"/>
      <c r="L111" s="8"/>
      <c r="M111" s="8"/>
      <c r="N111" s="8"/>
    </row>
    <row r="112" spans="1:19" ht="15" customHeight="1" x14ac:dyDescent="0.25">
      <c r="A112" s="8"/>
      <c r="B112" s="173" t="s">
        <v>586</v>
      </c>
      <c r="C112" s="218">
        <f>'Master Balance Sheet'!D15</f>
        <v>305471</v>
      </c>
      <c r="D112" s="218">
        <f>C112*Engine!C88</f>
        <v>305471</v>
      </c>
      <c r="E112" s="51">
        <f>'Master Balance Sheet'!D15*1.02</f>
        <v>311580.42</v>
      </c>
      <c r="F112" s="32">
        <f>E112*Engine!$C$88</f>
        <v>311580.42</v>
      </c>
      <c r="G112" s="51">
        <f>E112*1.02</f>
        <v>317812.02840000001</v>
      </c>
      <c r="H112" s="32">
        <f>G112*Engine!$C$88</f>
        <v>317812.02840000001</v>
      </c>
      <c r="I112" s="51">
        <f>G112*1.02</f>
        <v>324168.26896800002</v>
      </c>
      <c r="J112" s="32">
        <f>I112*Engine!$C$88</f>
        <v>324168.26896800002</v>
      </c>
      <c r="K112" s="8"/>
      <c r="L112" s="8"/>
      <c r="M112" s="8"/>
      <c r="N112" s="8"/>
    </row>
    <row r="113" spans="1:19" ht="15" customHeight="1" x14ac:dyDescent="0.25">
      <c r="A113" s="8"/>
      <c r="B113" s="173" t="s">
        <v>587</v>
      </c>
      <c r="C113" s="218">
        <f>Engine!D129</f>
        <v>26259</v>
      </c>
      <c r="D113" s="218">
        <f>C113*Engine!C90</f>
        <v>2625.9</v>
      </c>
      <c r="E113" s="32">
        <f>Engine!E129</f>
        <v>26259</v>
      </c>
      <c r="F113" s="32">
        <f>E113*Engine!$C$90</f>
        <v>2625.9</v>
      </c>
      <c r="G113" s="32">
        <f>Engine!F129</f>
        <v>26259</v>
      </c>
      <c r="H113" s="32">
        <f>G113*Engine!$C$90</f>
        <v>2625.9</v>
      </c>
      <c r="I113" s="32">
        <f>Engine!G129</f>
        <v>26259</v>
      </c>
      <c r="J113" s="32">
        <f>I113*Engine!$C$90</f>
        <v>2625.9</v>
      </c>
      <c r="K113" s="8"/>
      <c r="L113" s="8"/>
      <c r="M113" s="8"/>
      <c r="N113" s="8"/>
    </row>
    <row r="114" spans="1:19" ht="15" customHeight="1" x14ac:dyDescent="0.25">
      <c r="A114" s="8"/>
      <c r="B114" s="173" t="s">
        <v>588</v>
      </c>
      <c r="C114" s="218">
        <f>Engine!D126</f>
        <v>211330</v>
      </c>
      <c r="D114" s="218">
        <f>C114*Engine!C89</f>
        <v>0</v>
      </c>
      <c r="E114" s="32">
        <f ca="1">Engine!E126</f>
        <v>214325.3265915988</v>
      </c>
      <c r="F114" s="32">
        <f ca="1">E114*Engine!$C$89</f>
        <v>0</v>
      </c>
      <c r="G114" s="32">
        <f ca="1">Engine!F126</f>
        <v>217157.60072309198</v>
      </c>
      <c r="H114" s="32">
        <f ca="1">G114*Engine!$C$89</f>
        <v>0</v>
      </c>
      <c r="I114" s="32">
        <f ca="1">Engine!G126</f>
        <v>219876.42045560014</v>
      </c>
      <c r="J114" s="32">
        <f ca="1">I114*Engine!$C$89</f>
        <v>0</v>
      </c>
      <c r="K114" s="8"/>
      <c r="L114" s="8"/>
      <c r="M114" s="8"/>
      <c r="N114" s="8"/>
    </row>
    <row r="115" spans="1:19" ht="15" customHeight="1" thickBot="1" x14ac:dyDescent="0.3">
      <c r="A115" s="8"/>
      <c r="B115" s="213" t="s">
        <v>589</v>
      </c>
      <c r="C115" s="218">
        <f>Engine!D127*Engine!$C$263</f>
        <v>348098</v>
      </c>
      <c r="D115" s="218">
        <f>C115*Engine!$C$266</f>
        <v>17404.900000000001</v>
      </c>
      <c r="E115" s="52">
        <f>Engine!E127*Engine!$C$263</f>
        <v>348098</v>
      </c>
      <c r="F115" s="33">
        <f>E115*Engine!$C$266</f>
        <v>17404.900000000001</v>
      </c>
      <c r="G115" s="52">
        <f>Engine!F127*Engine!$C$263</f>
        <v>348098</v>
      </c>
      <c r="H115" s="33">
        <f>G115*Engine!$C$266</f>
        <v>17404.900000000001</v>
      </c>
      <c r="I115" s="46">
        <f>Engine!G127*Engine!$C$263</f>
        <v>348098</v>
      </c>
      <c r="J115" s="33">
        <f>I115*Engine!$C$266</f>
        <v>17404.900000000001</v>
      </c>
      <c r="K115" s="8"/>
      <c r="L115" s="8"/>
      <c r="M115" s="8"/>
      <c r="N115" s="8"/>
    </row>
    <row r="116" spans="1:19" ht="15" customHeight="1" x14ac:dyDescent="0.25">
      <c r="A116" s="8"/>
      <c r="B116" s="173" t="s">
        <v>590</v>
      </c>
      <c r="C116" s="218">
        <f>Engine!D127*Engine!$C$264</f>
        <v>261073.5</v>
      </c>
      <c r="D116" s="222">
        <f>C116*Engine!$C$267</f>
        <v>26107.350000000002</v>
      </c>
      <c r="E116" s="52">
        <f>Engine!E127*Engine!$C$264</f>
        <v>261073.5</v>
      </c>
      <c r="F116" s="33">
        <f>E116*Engine!$C$267</f>
        <v>26107.350000000002</v>
      </c>
      <c r="G116" s="52">
        <f>Engine!F127*Engine!$C$264</f>
        <v>261073.5</v>
      </c>
      <c r="H116" s="33">
        <f>G116*Engine!$C$267</f>
        <v>26107.350000000002</v>
      </c>
      <c r="I116" s="46">
        <f>Engine!G127*Engine!$C$264</f>
        <v>261073.5</v>
      </c>
      <c r="J116" s="33">
        <f>I116*Engine!$C$267</f>
        <v>26107.350000000002</v>
      </c>
      <c r="K116" s="8"/>
      <c r="L116" s="8"/>
      <c r="M116" s="8"/>
      <c r="N116" s="8"/>
    </row>
    <row r="117" spans="1:19" ht="15" customHeight="1" x14ac:dyDescent="0.25">
      <c r="A117" s="8"/>
      <c r="B117" s="200" t="s">
        <v>591</v>
      </c>
      <c r="C117" s="223">
        <f>Engine!D127*Engine!$C$265</f>
        <v>261073.5</v>
      </c>
      <c r="D117" s="223">
        <f>C117*Engine!$C$268</f>
        <v>221912.47500000001</v>
      </c>
      <c r="E117" s="46">
        <f>Engine!E127*Engine!$C$265</f>
        <v>261073.5</v>
      </c>
      <c r="F117" s="46">
        <f>E117*Engine!$C$268</f>
        <v>221912.47500000001</v>
      </c>
      <c r="G117" s="46">
        <f>Engine!F127*Engine!$C$265</f>
        <v>261073.5</v>
      </c>
      <c r="H117" s="46">
        <f>G117*Engine!$C$268</f>
        <v>221912.47500000001</v>
      </c>
      <c r="I117" s="46">
        <f>Engine!G127*Engine!$C$265</f>
        <v>261073.5</v>
      </c>
      <c r="J117" s="46">
        <f>I117*Engine!$C$268</f>
        <v>221912.47500000001</v>
      </c>
      <c r="K117" s="8"/>
      <c r="L117" s="8"/>
      <c r="M117" s="8"/>
      <c r="N117" s="8"/>
    </row>
    <row r="118" spans="1:19" ht="15" customHeight="1" x14ac:dyDescent="0.25">
      <c r="A118" s="8"/>
      <c r="B118" s="214" t="s">
        <v>592</v>
      </c>
      <c r="C118" s="224"/>
      <c r="D118" s="225">
        <f>SUM(D115:D117)</f>
        <v>265424.72499999998</v>
      </c>
      <c r="E118" s="7"/>
      <c r="F118" s="47">
        <f>SUM(F115:F117)</f>
        <v>265424.72499999998</v>
      </c>
      <c r="G118" s="7"/>
      <c r="H118" s="47">
        <f>SUM(H115:H117)</f>
        <v>265424.72499999998</v>
      </c>
      <c r="I118" s="8"/>
      <c r="J118" s="46">
        <f>SUM(J115:J117)</f>
        <v>265424.72499999998</v>
      </c>
      <c r="K118" s="8"/>
      <c r="L118" s="8"/>
      <c r="M118" s="8"/>
      <c r="N118" s="8"/>
    </row>
    <row r="119" spans="1:19" ht="15" customHeight="1" collapsed="1" thickBot="1" x14ac:dyDescent="0.3">
      <c r="A119" s="5"/>
      <c r="B119" s="215" t="s">
        <v>808</v>
      </c>
      <c r="C119" s="226">
        <f>Engine!D127</f>
        <v>870245</v>
      </c>
      <c r="D119" s="226">
        <f>Engine!D127*Engine!$C$258</f>
        <v>174049</v>
      </c>
      <c r="E119" s="53">
        <f>Engine!E127</f>
        <v>870245</v>
      </c>
      <c r="F119" s="53">
        <f>Engine!E127*Engine!$C$258</f>
        <v>174049</v>
      </c>
      <c r="G119" s="53">
        <f>Engine!F127</f>
        <v>870245</v>
      </c>
      <c r="H119" s="53">
        <f>Engine!F127*Engine!$C$258</f>
        <v>174049</v>
      </c>
      <c r="I119" s="53">
        <f>Engine!G127</f>
        <v>870245</v>
      </c>
      <c r="J119" s="53">
        <f>Engine!G127*Engine!$C$258</f>
        <v>174049</v>
      </c>
      <c r="K119" s="16"/>
      <c r="L119" s="15"/>
      <c r="M119" s="8"/>
      <c r="N119" s="8"/>
    </row>
    <row r="120" spans="1:19" ht="15" customHeight="1" x14ac:dyDescent="0.25">
      <c r="A120" s="8"/>
      <c r="B120" s="216" t="s">
        <v>593</v>
      </c>
      <c r="C120" s="10"/>
      <c r="D120" s="54">
        <f>D118-D119</f>
        <v>91375.724999999977</v>
      </c>
      <c r="E120" s="10"/>
      <c r="F120" s="54">
        <f>F118-F119</f>
        <v>91375.724999999977</v>
      </c>
      <c r="H120" s="55">
        <f>H118-H119</f>
        <v>91375.724999999977</v>
      </c>
      <c r="I120" s="8"/>
      <c r="J120" s="55">
        <f>J118-J119</f>
        <v>91375.724999999977</v>
      </c>
      <c r="K120" s="8"/>
      <c r="L120" s="8"/>
      <c r="M120" s="8"/>
      <c r="N120" s="8"/>
    </row>
    <row r="121" spans="1:19" ht="15" customHeight="1" x14ac:dyDescent="0.25">
      <c r="A121" s="8"/>
      <c r="B121" s="250" t="s">
        <v>594</v>
      </c>
      <c r="C121" s="233">
        <f>SUM(C109:C117)</f>
        <v>2463770</v>
      </c>
      <c r="D121" s="233">
        <f>SUM(D109:D117)</f>
        <v>1269699.446</v>
      </c>
      <c r="E121" s="239"/>
      <c r="F121" s="245">
        <f ca="1">SUM(F109:F117)</f>
        <v>1377568.59038</v>
      </c>
      <c r="H121" s="245">
        <f ca="1">SUM(H109:H117)</f>
        <v>1407738.3251413999</v>
      </c>
      <c r="I121" s="8"/>
      <c r="J121" s="245">
        <f ca="1">SUM(J109:J117)</f>
        <v>1438750.8358616419</v>
      </c>
      <c r="K121" s="8"/>
      <c r="L121" s="8"/>
      <c r="M121" s="8"/>
      <c r="N121" s="8"/>
    </row>
    <row r="122" spans="1:19" ht="15" customHeight="1" x14ac:dyDescent="0.25">
      <c r="A122" s="8"/>
      <c r="B122" s="246" t="s">
        <v>595</v>
      </c>
      <c r="C122" s="247">
        <f>D106/D121</f>
        <v>1.0198282625697861</v>
      </c>
      <c r="D122" s="251"/>
      <c r="E122" s="251"/>
      <c r="F122" s="247">
        <f ca="1">F106/F121</f>
        <v>0.96020359554417645</v>
      </c>
      <c r="G122" s="261"/>
      <c r="H122" s="247">
        <f ca="1">H106/H121</f>
        <v>0.95989486960395332</v>
      </c>
      <c r="I122" s="262"/>
      <c r="J122" s="247">
        <f ca="1">J106/J121</f>
        <v>0.95955064251513433</v>
      </c>
      <c r="K122" s="237"/>
      <c r="L122" s="237"/>
      <c r="M122" s="237"/>
      <c r="N122" s="237"/>
      <c r="O122" s="236"/>
      <c r="P122" s="236"/>
      <c r="Q122" s="236"/>
      <c r="R122" s="236"/>
      <c r="S122" s="236"/>
    </row>
    <row r="123" spans="1:19" ht="15" customHeight="1" x14ac:dyDescent="0.25">
      <c r="A123" s="8"/>
      <c r="H123" s="8"/>
      <c r="I123" s="8"/>
      <c r="J123" s="8"/>
      <c r="K123" s="8"/>
      <c r="L123" s="8"/>
      <c r="M123" s="8"/>
      <c r="N123" s="8"/>
    </row>
    <row r="124" spans="1:19" ht="15" customHeight="1" x14ac:dyDescent="0.25">
      <c r="A124" s="8"/>
      <c r="H124" s="8"/>
      <c r="I124" s="8"/>
      <c r="J124" s="8"/>
      <c r="K124" s="8"/>
      <c r="L124" s="8"/>
      <c r="M124" s="8"/>
      <c r="N124" s="8"/>
    </row>
    <row r="125" spans="1:19" ht="15" customHeight="1" thickBot="1" x14ac:dyDescent="0.3">
      <c r="A125" s="140"/>
      <c r="B125" s="206" t="str">
        <f>"SECTION 7 — CAPITAL | CRR ART. 92 | Forecast 2025A–2028F | Scenario: "&amp;CHOOSE(Engine!C4,"Base","Rate Hike","Rate Cut","Stress")</f>
        <v>SECTION 7 — CAPITAL | CRR ART. 92 | Forecast 2025A–2028F | Scenario: Base</v>
      </c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140"/>
      <c r="N125" s="140"/>
      <c r="O125" s="140"/>
      <c r="P125" s="140"/>
      <c r="Q125" s="140"/>
      <c r="R125" s="140"/>
      <c r="S125" s="140"/>
    </row>
    <row r="126" spans="1:19" ht="15" customHeight="1" thickBot="1" x14ac:dyDescent="0.3">
      <c r="A126" s="8"/>
      <c r="B126" s="209" t="s">
        <v>596</v>
      </c>
      <c r="C126" s="210" t="s">
        <v>50</v>
      </c>
      <c r="D126" s="210" t="s">
        <v>51</v>
      </c>
      <c r="E126" s="210" t="s">
        <v>52</v>
      </c>
      <c r="F126" s="210" t="s">
        <v>597</v>
      </c>
      <c r="G126" s="206"/>
      <c r="H126" s="206"/>
      <c r="I126" s="206"/>
      <c r="J126" s="206"/>
      <c r="K126" s="206"/>
      <c r="L126" s="206"/>
      <c r="M126" s="140"/>
      <c r="N126" s="140"/>
      <c r="O126" s="140"/>
      <c r="P126" s="140"/>
      <c r="Q126" s="140"/>
      <c r="R126" s="140"/>
      <c r="S126" s="140"/>
    </row>
    <row r="127" spans="1:19" ht="15" customHeight="1" collapsed="1" x14ac:dyDescent="0.25">
      <c r="A127" s="5"/>
      <c r="B127" s="173" t="s">
        <v>598</v>
      </c>
      <c r="C127" s="218">
        <f>Engine!D128*0.75+Engine!D130*0.2+Engine!D129*0.2+Engine!D127*Engine!$C$190</f>
        <v>839428.45000000007</v>
      </c>
      <c r="D127" s="218">
        <f>Engine!E128*0.75+Engine!E130*0.2+Engine!E129*0.2+Engine!E127*Engine!$C$190</f>
        <v>860537.647</v>
      </c>
      <c r="E127" s="32">
        <f>Engine!F128*0.75+Engine!F130*0.2+Engine!F129*0.2+Engine!F127*Engine!$C$190</f>
        <v>882280.11991000001</v>
      </c>
      <c r="F127" s="32">
        <f>Engine!G128*0.75+Engine!G130*0.2+Engine!G129*0.2+Engine!G127*Engine!$C$190</f>
        <v>904674.86700730002</v>
      </c>
      <c r="M127" s="8"/>
      <c r="N127" s="8"/>
    </row>
    <row r="128" spans="1:19" ht="15" customHeight="1" x14ac:dyDescent="0.25">
      <c r="A128" s="8"/>
      <c r="B128" s="173" t="s">
        <v>599</v>
      </c>
      <c r="C128" s="219">
        <f>Engine!D145/C127</f>
        <v>0.1574559451731711</v>
      </c>
      <c r="D128" s="219">
        <f ca="1">Engine!E145/D127</f>
        <v>0.15879655825400396</v>
      </c>
      <c r="E128" s="44">
        <f ca="1">Engine!F145/E127</f>
        <v>0.16004729216554983</v>
      </c>
      <c r="F128" s="44">
        <f ca="1">Engine!G145/F127</f>
        <v>0.16127586668760976</v>
      </c>
      <c r="M128" s="8"/>
      <c r="N128" s="8"/>
    </row>
    <row r="129" spans="1:19" ht="15" customHeight="1" x14ac:dyDescent="0.25">
      <c r="A129" s="8"/>
      <c r="B129" s="173" t="s">
        <v>600</v>
      </c>
      <c r="C129" s="219">
        <f>Engine!D145/Engine!D132</f>
        <v>4.732327215974616E-2</v>
      </c>
      <c r="D129" s="219">
        <f ca="1">Engine!E145/Engine!E132</f>
        <v>4.8220985163880965E-2</v>
      </c>
      <c r="E129" s="44">
        <f ca="1">Engine!F145/Engine!F132</f>
        <v>4.9106112897947363E-2</v>
      </c>
      <c r="F129" s="44">
        <f ca="1">Engine!G145/Engine!G132</f>
        <v>4.9997928101486337E-2</v>
      </c>
      <c r="M129" s="8"/>
      <c r="N129" s="8"/>
    </row>
    <row r="130" spans="1:19" ht="15" customHeight="1" x14ac:dyDescent="0.25">
      <c r="A130" s="8"/>
      <c r="B130" s="173" t="s">
        <v>601</v>
      </c>
      <c r="C130" s="219">
        <f>C128-Engine!$C$95</f>
        <v>2.2455945173171094E-2</v>
      </c>
      <c r="D130" s="219">
        <f ca="1">D128-Engine!$C$95</f>
        <v>2.3796558254003952E-2</v>
      </c>
      <c r="E130" s="44">
        <f ca="1">E128-Engine!$C$95</f>
        <v>2.5047292165549823E-2</v>
      </c>
      <c r="F130" s="44">
        <f ca="1">F128-Engine!$C$95</f>
        <v>2.6275866687609756E-2</v>
      </c>
      <c r="M130" s="8"/>
      <c r="N130" s="8"/>
    </row>
    <row r="131" spans="1:19" ht="15" customHeight="1" x14ac:dyDescent="0.25">
      <c r="M131" s="8"/>
      <c r="N131" s="8"/>
    </row>
    <row r="132" spans="1:19" ht="15" customHeight="1" x14ac:dyDescent="0.25">
      <c r="A132" s="8"/>
      <c r="B132" s="8"/>
      <c r="I132" s="8"/>
      <c r="J132" s="8"/>
      <c r="K132" s="8"/>
      <c r="L132" s="8"/>
      <c r="M132" s="8"/>
      <c r="N132" s="8"/>
    </row>
    <row r="133" spans="1:19" ht="15" customHeight="1" thickBot="1" x14ac:dyDescent="0.3">
      <c r="A133" s="140"/>
      <c r="B133" s="206" t="s">
        <v>602</v>
      </c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140"/>
      <c r="N133" s="140"/>
      <c r="O133" s="140"/>
      <c r="P133" s="140"/>
      <c r="Q133" s="140"/>
      <c r="R133" s="140"/>
      <c r="S133" s="140"/>
    </row>
    <row r="134" spans="1:19" ht="15" customHeight="1" collapsed="1" thickBot="1" x14ac:dyDescent="0.3">
      <c r="A134" s="5"/>
      <c r="B134" s="209" t="s">
        <v>530</v>
      </c>
      <c r="C134" s="210" t="s">
        <v>107</v>
      </c>
      <c r="D134" s="210" t="s">
        <v>50</v>
      </c>
      <c r="E134" s="210" t="s">
        <v>51</v>
      </c>
      <c r="F134" s="210" t="s">
        <v>52</v>
      </c>
      <c r="G134" s="210" t="s">
        <v>53</v>
      </c>
      <c r="H134" s="206"/>
      <c r="I134" s="206"/>
      <c r="J134" s="206"/>
      <c r="K134" s="206"/>
      <c r="L134" s="206"/>
      <c r="M134" s="140"/>
      <c r="N134" s="140"/>
      <c r="O134" s="140"/>
      <c r="P134" s="140"/>
      <c r="Q134" s="140"/>
      <c r="R134" s="140"/>
      <c r="S134" s="140"/>
    </row>
    <row r="135" spans="1:19" ht="15" customHeight="1" x14ac:dyDescent="0.25">
      <c r="A135" s="8"/>
      <c r="B135" s="173" t="s">
        <v>603</v>
      </c>
      <c r="C135" s="218">
        <f>Engine!C126+Engine!C128+Engine!C129+Engine!C130</f>
        <v>1262369</v>
      </c>
      <c r="D135" s="218">
        <f>(C135+Engine!D126+Engine!D128+Engine!D129+Engine!D130)/2</f>
        <v>1275211.5</v>
      </c>
      <c r="E135" s="32">
        <f ca="1">(Engine!D126+Engine!D128+Engine!D129+Engine!D130+Engine!E126+Engine!E128+Engine!E129+Engine!E130)/2</f>
        <v>1305308.6382957995</v>
      </c>
      <c r="F135" s="32">
        <f ca="1">(Engine!E126+Engine!E128+Engine!E129+Engine!E130+Engine!F126+Engine!F128+Engine!F129+Engine!F130)/2</f>
        <v>1340209.0979073453</v>
      </c>
      <c r="G135" s="32">
        <f ca="1">(Engine!F126+Engine!F128+Engine!F129+Engine!F130+Engine!G126+Engine!G128+Engine!G129+Engine!G130)/2</f>
        <v>1375930.9038668461</v>
      </c>
      <c r="H135" s="8"/>
      <c r="I135" s="8"/>
      <c r="J135" s="8"/>
      <c r="K135" s="8"/>
      <c r="L135" s="8"/>
      <c r="M135" s="8"/>
      <c r="N135" s="8"/>
    </row>
    <row r="136" spans="1:19" ht="15" customHeight="1" x14ac:dyDescent="0.25">
      <c r="A136" s="8"/>
      <c r="B136" s="173" t="s">
        <v>604</v>
      </c>
      <c r="C136" s="32">
        <f>(Engine!C126*Engine!C14)+(Engine!C128*Engine!C116)+(Engine!C129*Engine!C121)+(Engine!C130*Engine!C119)-(Engine!C136*Engine!C117)-(Engine!C137*Engine!C121)-(Engine!C138*Engine!C118)-(Engine!C139*Engine!C120)-(Engine!C140*Engine!C122)</f>
        <v>16065.71895</v>
      </c>
      <c r="D136" s="33">
        <f>C23</f>
        <v>22085.252449999996</v>
      </c>
      <c r="E136" s="33">
        <f ca="1">D23</f>
        <v>22685.668548310969</v>
      </c>
      <c r="F136" s="33">
        <f ca="1">E23</f>
        <v>23224.923378361829</v>
      </c>
      <c r="G136" s="33">
        <f ca="1">F23</f>
        <v>24295.945410446995</v>
      </c>
      <c r="H136" s="8"/>
      <c r="I136" s="8"/>
      <c r="J136" s="8"/>
      <c r="K136" s="8"/>
      <c r="L136" s="8"/>
      <c r="M136" s="8"/>
      <c r="N136" s="8"/>
    </row>
    <row r="137" spans="1:19" ht="15" customHeight="1" x14ac:dyDescent="0.25">
      <c r="A137" s="8"/>
      <c r="B137" s="173" t="s">
        <v>605</v>
      </c>
      <c r="C137" s="19">
        <f>C136/C135</f>
        <v>1.2726642487260064E-2</v>
      </c>
      <c r="D137" s="19">
        <f>D136/D135</f>
        <v>1.7318893728608939E-2</v>
      </c>
      <c r="E137" s="19">
        <f ca="1">E136/E135</f>
        <v>1.7379543720731975E-2</v>
      </c>
      <c r="F137" s="19">
        <f ca="1">F136/F135</f>
        <v>1.7329328247827992E-2</v>
      </c>
      <c r="G137" s="19">
        <f ca="1">G136/G135</f>
        <v>1.7657823762927998E-2</v>
      </c>
      <c r="H137" s="8"/>
      <c r="I137" s="8"/>
      <c r="J137" s="8"/>
      <c r="K137" s="8"/>
      <c r="L137" s="8"/>
      <c r="M137" s="8"/>
      <c r="N137" s="8"/>
    </row>
    <row r="138" spans="1:19" ht="15" customHeight="1" x14ac:dyDescent="0.25">
      <c r="A138" s="8"/>
      <c r="B138" s="302"/>
      <c r="C138" s="302"/>
      <c r="D138" s="302"/>
      <c r="E138" s="302"/>
      <c r="F138" s="302"/>
      <c r="G138" s="302"/>
      <c r="H138" s="302"/>
      <c r="I138" s="8"/>
      <c r="J138" s="8"/>
      <c r="K138" s="8"/>
      <c r="L138" s="8"/>
      <c r="M138" s="8"/>
      <c r="N138" s="8"/>
    </row>
    <row r="139" spans="1:19" ht="15" customHeight="1" x14ac:dyDescent="0.25">
      <c r="A139" s="8"/>
      <c r="I139" s="8"/>
      <c r="J139" s="8"/>
      <c r="K139" s="8"/>
      <c r="L139" s="8"/>
      <c r="M139" s="8"/>
      <c r="N139" s="8"/>
    </row>
    <row r="140" spans="1:19" ht="15" customHeight="1" thickBot="1" x14ac:dyDescent="0.3">
      <c r="A140" s="140"/>
      <c r="B140" s="206" t="str">
        <f>"SECTION 9 — FORECAST REGULATORY RATIOS | Traffic Light Conditional Formatting | Scenario: "&amp;CHOOSE(Engine!C4,"Base","Rate Hike","Rate Cut","Stress")</f>
        <v>SECTION 9 — FORECAST REGULATORY RATIOS | Traffic Light Conditional Formatting | Scenario: Base</v>
      </c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140"/>
      <c r="N140" s="140"/>
      <c r="O140" s="140"/>
      <c r="P140" s="140"/>
      <c r="Q140" s="140"/>
      <c r="R140" s="140"/>
      <c r="S140" s="140"/>
    </row>
    <row r="141" spans="1:19" ht="15" customHeight="1" x14ac:dyDescent="0.25">
      <c r="A141" s="8"/>
      <c r="B141" s="209" t="s">
        <v>606</v>
      </c>
      <c r="C141" s="210" t="s">
        <v>607</v>
      </c>
      <c r="D141" s="210" t="s">
        <v>50</v>
      </c>
      <c r="E141" s="210" t="s">
        <v>51</v>
      </c>
      <c r="F141" s="210" t="s">
        <v>52</v>
      </c>
      <c r="G141" s="210" t="s">
        <v>53</v>
      </c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</row>
    <row r="142" spans="1:19" ht="15" customHeight="1" x14ac:dyDescent="0.25">
      <c r="A142" s="8"/>
      <c r="B142" s="173" t="s">
        <v>608</v>
      </c>
      <c r="C142" s="48" t="s">
        <v>85</v>
      </c>
      <c r="D142" s="19">
        <f>D137</f>
        <v>1.7318893728608939E-2</v>
      </c>
      <c r="E142" s="19">
        <f ca="1">E137</f>
        <v>1.7379543720731975E-2</v>
      </c>
      <c r="F142" s="19">
        <f ca="1">F137</f>
        <v>1.7329328247827992E-2</v>
      </c>
      <c r="G142" s="19">
        <f ca="1">G137</f>
        <v>1.7657823762927998E-2</v>
      </c>
      <c r="I142" s="8"/>
      <c r="J142" s="8"/>
      <c r="K142" s="8"/>
      <c r="L142" s="8"/>
      <c r="M142" s="8"/>
      <c r="N142" s="8"/>
    </row>
    <row r="143" spans="1:19" ht="15" customHeight="1" x14ac:dyDescent="0.25">
      <c r="A143" s="8"/>
      <c r="B143" s="173" t="s">
        <v>609</v>
      </c>
      <c r="C143" s="48" t="s">
        <v>610</v>
      </c>
      <c r="D143" s="19">
        <f t="shared" ref="D143:G144" si="2">C128</f>
        <v>0.1574559451731711</v>
      </c>
      <c r="E143" s="19">
        <f t="shared" ca="1" si="2"/>
        <v>0.15879655825400396</v>
      </c>
      <c r="F143" s="19">
        <f t="shared" ca="1" si="2"/>
        <v>0.16004729216554983</v>
      </c>
      <c r="G143" s="19">
        <f t="shared" ca="1" si="2"/>
        <v>0.16127586668760976</v>
      </c>
      <c r="I143" s="8"/>
      <c r="J143" s="8"/>
      <c r="K143" s="8"/>
      <c r="L143" s="8"/>
      <c r="M143" s="8"/>
      <c r="N143" s="8"/>
    </row>
    <row r="144" spans="1:19" ht="15" customHeight="1" x14ac:dyDescent="0.25">
      <c r="A144" s="8"/>
      <c r="B144" s="173" t="s">
        <v>611</v>
      </c>
      <c r="C144" s="48" t="s">
        <v>612</v>
      </c>
      <c r="D144" s="19">
        <f t="shared" si="2"/>
        <v>4.732327215974616E-2</v>
      </c>
      <c r="E144" s="19">
        <f t="shared" ca="1" si="2"/>
        <v>4.8220985163880965E-2</v>
      </c>
      <c r="F144" s="19">
        <f t="shared" ca="1" si="2"/>
        <v>4.9106112897947363E-2</v>
      </c>
      <c r="G144" s="19">
        <f t="shared" ca="1" si="2"/>
        <v>4.9997928101486337E-2</v>
      </c>
      <c r="H144" s="8"/>
      <c r="I144" s="8"/>
      <c r="J144" s="8"/>
      <c r="K144" s="8"/>
      <c r="L144" s="8"/>
      <c r="M144" s="8"/>
      <c r="N144" s="8"/>
    </row>
    <row r="145" spans="1:19" ht="15" customHeight="1" collapsed="1" x14ac:dyDescent="0.25">
      <c r="A145" s="5"/>
      <c r="B145" s="173" t="s">
        <v>613</v>
      </c>
      <c r="C145" s="48" t="s">
        <v>614</v>
      </c>
      <c r="D145" s="20">
        <f ca="1">C93</f>
        <v>1.554406895307481</v>
      </c>
      <c r="E145" s="20">
        <f ca="1">D93</f>
        <v>1.5354828102712694</v>
      </c>
      <c r="F145" s="20">
        <f ca="1">E93</f>
        <v>1.5471072368084431</v>
      </c>
      <c r="G145" s="20">
        <f ca="1">F93</f>
        <v>1.5580125044940392</v>
      </c>
      <c r="M145" s="8"/>
      <c r="N145" s="8"/>
    </row>
    <row r="146" spans="1:19" ht="15" customHeight="1" x14ac:dyDescent="0.25">
      <c r="A146" s="8"/>
      <c r="B146" s="173" t="s">
        <v>615</v>
      </c>
      <c r="C146" s="48" t="s">
        <v>616</v>
      </c>
      <c r="D146" s="20">
        <f>C122</f>
        <v>1.0198282625697861</v>
      </c>
      <c r="E146" s="20">
        <f ca="1">F122</f>
        <v>0.96020359554417645</v>
      </c>
      <c r="F146" s="20">
        <f ca="1">H122</f>
        <v>0.95989486960395332</v>
      </c>
      <c r="G146" s="20">
        <f ca="1">J122</f>
        <v>0.95955064251513433</v>
      </c>
      <c r="I146" s="8"/>
      <c r="J146" s="8"/>
      <c r="K146" s="8"/>
      <c r="L146" s="8"/>
      <c r="M146" s="8"/>
      <c r="N146" s="8"/>
    </row>
    <row r="147" spans="1:19" ht="15" customHeight="1" thickBot="1" x14ac:dyDescent="0.3">
      <c r="A147" s="8"/>
      <c r="B147" s="213" t="s">
        <v>617</v>
      </c>
      <c r="C147" s="48"/>
      <c r="D147" s="33">
        <f>C31</f>
        <v>10979.74737825</v>
      </c>
      <c r="E147" s="33">
        <f ca="1">D31</f>
        <v>11193.541478997473</v>
      </c>
      <c r="F147" s="33">
        <f ca="1">E31</f>
        <v>11390.318828732768</v>
      </c>
      <c r="G147" s="33">
        <f ca="1">F31</f>
        <v>11739.197810020774</v>
      </c>
      <c r="J147" s="8"/>
      <c r="K147" s="8"/>
      <c r="L147" s="8"/>
      <c r="M147" s="8"/>
      <c r="N147" s="8"/>
    </row>
    <row r="148" spans="1:19" ht="15" customHeight="1" x14ac:dyDescent="0.25">
      <c r="A148" s="8"/>
      <c r="B148" s="173" t="s">
        <v>618</v>
      </c>
      <c r="C148" s="48" t="s">
        <v>85</v>
      </c>
      <c r="D148" s="32">
        <f>Engine!G5</f>
        <v>25</v>
      </c>
      <c r="E148" s="32">
        <f>Engine!G5</f>
        <v>25</v>
      </c>
      <c r="F148" s="32">
        <f>Engine!G5</f>
        <v>25</v>
      </c>
      <c r="G148" s="32">
        <f>Engine!G5</f>
        <v>25</v>
      </c>
      <c r="J148" s="8"/>
      <c r="K148" s="8"/>
      <c r="L148" s="8"/>
      <c r="M148" s="8"/>
      <c r="N148" s="8"/>
    </row>
    <row r="149" spans="1:19" ht="15" customHeight="1" x14ac:dyDescent="0.25">
      <c r="A149" s="8"/>
      <c r="B149" s="302"/>
      <c r="C149" s="302"/>
      <c r="D149" s="302"/>
      <c r="E149" s="302"/>
      <c r="F149" s="302"/>
      <c r="G149" s="302"/>
      <c r="H149" s="302"/>
      <c r="K149" s="8"/>
      <c r="L149" s="8"/>
      <c r="M149" s="8"/>
      <c r="N149" s="8"/>
    </row>
    <row r="150" spans="1:19" ht="15" customHeight="1" x14ac:dyDescent="0.25">
      <c r="A150" s="8"/>
      <c r="K150" s="8"/>
      <c r="L150" s="8"/>
      <c r="M150" s="8"/>
      <c r="N150" s="8"/>
    </row>
    <row r="151" spans="1:19" ht="15" customHeight="1" thickBot="1" x14ac:dyDescent="0.3">
      <c r="A151" s="140"/>
      <c r="B151" s="206" t="str">
        <f>"SECTION 10 — SCENARIO COMPARISON | Switch scenario via Dashboard ▸ Active Scenario"</f>
        <v>SECTION 10 — SCENARIO COMPARISON | Switch scenario via Dashboard ▸ Active Scenario</v>
      </c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140"/>
      <c r="N151" s="140"/>
      <c r="O151" s="140"/>
      <c r="P151" s="140"/>
      <c r="Q151" s="140"/>
      <c r="R151" s="140"/>
      <c r="S151" s="140"/>
    </row>
    <row r="152" spans="1:19" ht="15" customHeight="1" x14ac:dyDescent="0.25">
      <c r="A152" s="8"/>
      <c r="B152" s="303"/>
      <c r="C152" s="303"/>
      <c r="D152" s="303"/>
      <c r="E152" s="303"/>
      <c r="F152" s="303"/>
      <c r="G152" s="303"/>
      <c r="H152" s="303"/>
      <c r="I152" s="33"/>
      <c r="J152" s="8"/>
      <c r="K152" s="8"/>
      <c r="L152" s="8"/>
      <c r="M152" s="8"/>
      <c r="N152" s="8"/>
    </row>
    <row r="153" spans="1:19" ht="15" customHeight="1" x14ac:dyDescent="0.25">
      <c r="A153" s="8"/>
      <c r="B153" s="207" t="s">
        <v>596</v>
      </c>
      <c r="C153" s="211" t="s">
        <v>619</v>
      </c>
      <c r="D153" s="211" t="s">
        <v>620</v>
      </c>
      <c r="E153" s="211" t="s">
        <v>621</v>
      </c>
      <c r="F153" s="212" t="s">
        <v>622</v>
      </c>
      <c r="G153" s="212" t="s">
        <v>623</v>
      </c>
      <c r="H153" s="212" t="s">
        <v>624</v>
      </c>
      <c r="I153" s="212" t="s">
        <v>625</v>
      </c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</row>
    <row r="154" spans="1:19" ht="15" customHeight="1" x14ac:dyDescent="0.25">
      <c r="A154" s="8"/>
      <c r="B154" s="173" t="s">
        <v>626</v>
      </c>
      <c r="C154" s="218">
        <f ca="1">Engine!C195</f>
        <v>22685.668548310965</v>
      </c>
      <c r="D154" s="218">
        <f ca="1">Engine!C196</f>
        <v>20216.592343310975</v>
      </c>
      <c r="E154" s="269">
        <f ca="1">Engine!C197</f>
        <v>18815.639428310969</v>
      </c>
      <c r="F154" s="218">
        <f ca="1">Engine!C198</f>
        <v>15812.501578310974</v>
      </c>
      <c r="G154" s="33">
        <f t="shared" ref="G154:G162" ca="1" si="3">D154-C154</f>
        <v>-2469.0762049999903</v>
      </c>
      <c r="H154" s="33">
        <f t="shared" ref="H154:H162" ca="1" si="4">E154-C154</f>
        <v>-3870.0291199999956</v>
      </c>
      <c r="I154" s="33">
        <f t="shared" ref="I154:I162" ca="1" si="5">F154-C154</f>
        <v>-6873.1669699999911</v>
      </c>
      <c r="J154" s="8"/>
      <c r="K154" s="8"/>
      <c r="L154" s="8"/>
      <c r="M154" s="8"/>
      <c r="N154" s="8"/>
    </row>
    <row r="155" spans="1:19" ht="15" customHeight="1" x14ac:dyDescent="0.25">
      <c r="A155" s="8"/>
      <c r="B155" s="173" t="s">
        <v>608</v>
      </c>
      <c r="C155" s="219">
        <f ca="1">Engine!C200</f>
        <v>1.7379543720731975E-2</v>
      </c>
      <c r="D155" s="219">
        <f ca="1">Engine!C201</f>
        <v>1.5487978666643618E-2</v>
      </c>
      <c r="E155" s="219">
        <f ca="1">Engine!C202</f>
        <v>1.4414705362615632E-2</v>
      </c>
      <c r="F155" s="219">
        <f ca="1">Engine!C203</f>
        <v>1.2113994433497085E-2</v>
      </c>
      <c r="G155" s="19">
        <f t="shared" ca="1" si="3"/>
        <v>-1.8915650540883566E-3</v>
      </c>
      <c r="H155" s="19">
        <f t="shared" ca="1" si="4"/>
        <v>-2.964838358116343E-3</v>
      </c>
      <c r="I155" s="19">
        <f t="shared" ca="1" si="5"/>
        <v>-5.26554928723489E-3</v>
      </c>
      <c r="J155" s="8"/>
      <c r="K155" s="8"/>
      <c r="L155" s="8"/>
      <c r="M155" s="8"/>
      <c r="N155" s="8"/>
    </row>
    <row r="156" spans="1:19" ht="15" customHeight="1" x14ac:dyDescent="0.25">
      <c r="A156" s="8"/>
      <c r="B156" s="173" t="s">
        <v>627</v>
      </c>
      <c r="C156" s="219">
        <f>Engine!C205</f>
        <v>3.5749999999999997E-2</v>
      </c>
      <c r="D156" s="219">
        <f>Engine!C206</f>
        <v>5.3749999999999999E-2</v>
      </c>
      <c r="E156" s="219">
        <f>Engine!C207</f>
        <v>1.7749999999999998E-2</v>
      </c>
      <c r="F156" s="219">
        <f>Engine!C208</f>
        <v>6.275E-2</v>
      </c>
      <c r="G156" s="19">
        <f t="shared" si="3"/>
        <v>1.8000000000000002E-2</v>
      </c>
      <c r="H156" s="19">
        <f t="shared" si="4"/>
        <v>-1.7999999999999999E-2</v>
      </c>
      <c r="I156" s="19">
        <f t="shared" si="5"/>
        <v>2.7000000000000003E-2</v>
      </c>
      <c r="J156" s="8"/>
      <c r="K156" s="8"/>
      <c r="L156" s="8"/>
      <c r="M156" s="8"/>
      <c r="N156" s="8"/>
    </row>
    <row r="157" spans="1:19" ht="15" customHeight="1" x14ac:dyDescent="0.25">
      <c r="A157" s="8"/>
      <c r="B157" s="173" t="s">
        <v>628</v>
      </c>
      <c r="C157" s="219">
        <f>Engine!C210</f>
        <v>4.0000000000000001E-3</v>
      </c>
      <c r="D157" s="219">
        <f>Engine!C211</f>
        <v>1.3749999999999998E-2</v>
      </c>
      <c r="E157" s="219">
        <f>Engine!C212</f>
        <v>0</v>
      </c>
      <c r="F157" s="219">
        <f>Engine!C213</f>
        <v>2.1499999999999998E-2</v>
      </c>
      <c r="G157" s="19">
        <f t="shared" si="3"/>
        <v>9.7499999999999983E-3</v>
      </c>
      <c r="H157" s="19">
        <f t="shared" si="4"/>
        <v>-4.0000000000000001E-3</v>
      </c>
      <c r="I157" s="19">
        <f t="shared" si="5"/>
        <v>1.7499999999999998E-2</v>
      </c>
      <c r="J157" s="8"/>
      <c r="K157" s="8"/>
      <c r="L157" s="8"/>
      <c r="M157" s="8"/>
      <c r="N157" s="8"/>
    </row>
    <row r="158" spans="1:19" ht="15" customHeight="1" x14ac:dyDescent="0.25">
      <c r="A158" s="8"/>
      <c r="B158" s="173" t="s">
        <v>613</v>
      </c>
      <c r="C158" s="44">
        <f ca="1">((Engine!C226+Engine!D136*(1+Engine!E7)+Engine!D137+Engine!D138+Engine!D139+Engine!D140+(Engine!D141-Engine!D131)*1.01-Engine!C236-Engine!C231-Engine!D129-Engine!C241)*(1-Engine!$C$56)+Engine!C241*Engine!$C$38*(1-Engine!$C$57)+Engine!C241*Engine!$C$39*(1-Engine!$C$58))/(((Engine!D136*(1+Engine!E7))*(0.7*Engine!$C$61+0.3*Engine!$C$62)+Engine!D139*Engine!$C$63+Engine!D137*Engine!$C$64+Engine!D138*(Engine!$C$38*Engine!$C$65+Engine!$C$39*Engine!$C$66)+(Engine!C226+Engine!D136*(1+Engine!E7)+Engine!D137+Engine!D138+Engine!D139+Engine!D140+(Engine!D141-Engine!D131)*1.01-Engine!C236-Engine!C231-Engine!D129-Engine!C241)*0.15*Engine!$C$68+Engine!C231*Engine!$C$67)-MIN(Engine!C231*0.1*Engine!$C$69+((Engine!C226+Engine!D136*(1+Engine!E7)+Engine!D137+Engine!D138+Engine!D139+Engine!D140+(Engine!D141-Engine!D131)*1.01-Engine!C236-Engine!C231-Engine!D129-Engine!C241)*(1-Engine!$C$56)+Engine!C241*Engine!$C$38*(1-Engine!$C$57))*0.05*Engine!$C$70,((Engine!D136*(1+Engine!E7))*(0.7*Engine!$C$61+0.3*Engine!$C$62)+Engine!D139*Engine!$C$63+Engine!D137*Engine!$C$64+Engine!D138*(Engine!$C$38*Engine!$C$65+Engine!$C$39*Engine!$C$66)+(Engine!C226+Engine!D136*(1+Engine!E7)+Engine!D137+Engine!D138+Engine!D139+Engine!D140+(Engine!D141-Engine!D131)*1.01-Engine!C236-Engine!C231-Engine!D129-Engine!C241)*0.15*Engine!$C$68+Engine!C231*Engine!$C$67)*Engine!$C$71))</f>
        <v>1.5354828102712705</v>
      </c>
      <c r="D158" s="44">
        <f ca="1">((Engine!C227+Engine!D136*(1+Engine!E8)+Engine!D137+Engine!D138+Engine!D139+Engine!D140+(Engine!D141-Engine!D131)*1.015-Engine!C237-Engine!C232-Engine!D129-Engine!C242)*(1-Engine!$C$56)+Engine!C242*Engine!$C$38*(1-Engine!$C$57)+Engine!C242*Engine!$C$39*(1-Engine!$C$58))/(((Engine!D136*(1+Engine!E8))*(0.7*Engine!$C$61+0.3*Engine!$C$62)+Engine!D139*Engine!$C$63+Engine!D137*Engine!$C$64+Engine!D138*(Engine!$C$38*Engine!$C$65+Engine!$C$39*Engine!$C$66)+(Engine!C227+Engine!D136*(1+Engine!E8)+Engine!D137+Engine!D138+Engine!D139+Engine!D140+(Engine!D141-Engine!D131)*1.015-Engine!C237-Engine!C232-Engine!D129-Engine!C242)*0.15*Engine!$C$68+Engine!C232*Engine!$C$67)-MIN(Engine!C232*0.1*Engine!$C$69+((Engine!C227+Engine!D136*(1+Engine!E8)+Engine!D137+Engine!D138+Engine!D139+Engine!D140+(Engine!D141-Engine!D131)*1.015-Engine!C237-Engine!C232-Engine!D129-Engine!C242)*(1-Engine!$C$56)+Engine!C242*Engine!$C$38*(1-Engine!$C$57))*0.05*Engine!$C$70,((Engine!D136*(1+Engine!E8))*(0.7*Engine!$C$61+0.3*Engine!$C$62)+Engine!D139*Engine!$C$63+Engine!D137*Engine!$C$64+Engine!D138*(Engine!$C$38*Engine!$C$65+Engine!$C$39*Engine!$C$66)+(Engine!C227+Engine!D136*(1+Engine!E8)+Engine!D137+Engine!D138+Engine!D139+Engine!D140+(Engine!D141-Engine!D131)*1.015-Engine!C237-Engine!C232-Engine!D129-Engine!C242)*0.15*Engine!$C$68+Engine!C232*Engine!$C$67)*Engine!$C$71))</f>
        <v>1.4857830427871472</v>
      </c>
      <c r="E158" s="44">
        <f ca="1">((Engine!C228+Engine!D136*(1+Engine!E9)+Engine!D137+Engine!D138+Engine!D139+Engine!D140+(Engine!D141-Engine!D131)*1.005-Engine!C238-Engine!C233-Engine!D129-Engine!C243)*(1-Engine!$C$56)+Engine!C243*Engine!$C$38*(1-Engine!$C$57)+Engine!C243*Engine!$C$39*(1-Engine!$C$58))/(((Engine!D136*(1+Engine!E9))*(0.7*Engine!$C$61+0.3*Engine!$C$62)+Engine!D139*Engine!$C$63+Engine!D137*Engine!$C$64+Engine!D138*(Engine!$C$38*Engine!$C$65+Engine!$C$39*Engine!$C$66)+(Engine!C228+Engine!D136*(1+Engine!E9)+Engine!D137+Engine!D138+Engine!D139+Engine!D140+(Engine!D141-Engine!D131)*1.005-Engine!C238-Engine!C233-Engine!D129-Engine!C243)*0.15*Engine!$C$68+Engine!C233*Engine!$C$67)-MIN(Engine!C233*0.1*Engine!$C$69+((Engine!C228+Engine!D136*(1+Engine!E9)+Engine!D137+Engine!D138+Engine!D139+Engine!D140+(Engine!D141-Engine!D131)*1.005-Engine!C238-Engine!C233-Engine!D129-Engine!C243)*(1-Engine!$C$56)+Engine!C243*Engine!$C$38*(1-Engine!$C$57))*0.05*Engine!$C$70,((Engine!D136*(1+Engine!E9))*(0.7*Engine!$C$61+0.3*Engine!$C$62)+Engine!D139*Engine!$C$63+Engine!D137*Engine!$C$64+Engine!D138*(Engine!$C$38*Engine!$C$65+Engine!$C$39*Engine!$C$66)+(Engine!C228+Engine!D136*(1+Engine!E9)+Engine!D137+Engine!D138+Engine!D139+Engine!D140+(Engine!D141-Engine!D131)*1.005-Engine!C238-Engine!C233-Engine!D129-Engine!C243)*0.15*Engine!$C$68+Engine!C233*Engine!$C$67)*Engine!$C$71))</f>
        <v>1.5818246600429733</v>
      </c>
      <c r="F158" s="44">
        <f ca="1">((Engine!C229+Engine!D136*(1+Engine!E10)+Engine!D137+Engine!D138+Engine!D139+Engine!D140+(Engine!D141-Engine!D131)*0.99-Engine!C239-Engine!C234-Engine!D129-Engine!C244)*(1-Engine!$C$56)+Engine!C244*Engine!$C$38*(1-Engine!$C$57)+Engine!C244*Engine!$C$39*(1-Engine!$C$58))/(((Engine!D136*(1+Engine!E10))*(0.7*Engine!$C$61+0.3*Engine!$C$62)+Engine!D139*Engine!$C$63+Engine!D137*Engine!$C$64+Engine!D138*(Engine!$C$38*Engine!$C$65+Engine!$C$39*Engine!$C$66)+(Engine!C229+Engine!D136*(1+Engine!E10)+Engine!D137+Engine!D138+Engine!D139+Engine!D140+(Engine!D141-Engine!D131)*0.99-Engine!C239-Engine!C234-Engine!D129-Engine!C244)*0.15*Engine!$C$68+Engine!C234*Engine!$C$67)-MIN(Engine!C234*0.1*Engine!$C$69+((Engine!C229+Engine!D136*(1+Engine!E10)+Engine!D137+Engine!D138+Engine!D139+Engine!D140+(Engine!D141-Engine!D131)*0.99-Engine!C239-Engine!C234-Engine!D129-Engine!C244)*(1-Engine!$C$56)+Engine!C244*Engine!$C$38*(1-Engine!$C$57))*0.05*Engine!$C$70,((Engine!D136*(1+Engine!E10))*(0.7*Engine!$C$61+0.3*Engine!$C$62)+Engine!D139*Engine!$C$63+Engine!D137*Engine!$C$64+Engine!D138*(Engine!$C$38*Engine!$C$65+Engine!$C$39*Engine!$C$66)+(Engine!C229+Engine!D136*(1+Engine!E10)+Engine!D137+Engine!D138+Engine!D139+Engine!D140+(Engine!D141-Engine!D131)*0.99-Engine!C239-Engine!C234-Engine!D129-Engine!C244)*0.15*Engine!$C$68+Engine!C234*Engine!$C$67)*Engine!$C$71))</f>
        <v>1.6663649362369941</v>
      </c>
      <c r="G158" s="33">
        <f t="shared" ca="1" si="3"/>
        <v>-4.9699767484123303E-2</v>
      </c>
      <c r="H158" s="33">
        <f t="shared" ca="1" si="4"/>
        <v>4.6341849771702748E-2</v>
      </c>
      <c r="I158" s="33">
        <f t="shared" ca="1" si="5"/>
        <v>0.13088212596572357</v>
      </c>
      <c r="J158" s="8"/>
      <c r="K158" s="8"/>
      <c r="L158" s="8"/>
      <c r="M158" s="8"/>
      <c r="N158" s="8"/>
    </row>
    <row r="159" spans="1:19" ht="15" customHeight="1" x14ac:dyDescent="0.25">
      <c r="A159" s="5"/>
      <c r="B159" s="173" t="s">
        <v>615</v>
      </c>
      <c r="C159" s="19">
        <f ca="1">F122</f>
        <v>0.96020359554417645</v>
      </c>
      <c r="D159" s="44">
        <f ca="1">F122*(1-0.003)</f>
        <v>0.95732298475754396</v>
      </c>
      <c r="E159" s="44">
        <f ca="1">F122*(1+0.002)</f>
        <v>0.96212400273526477</v>
      </c>
      <c r="F159" s="44">
        <f ca="1">E348</f>
        <v>0.858313132172562</v>
      </c>
      <c r="G159" s="33">
        <f t="shared" ca="1" si="3"/>
        <v>-2.880610786632487E-3</v>
      </c>
      <c r="H159" s="33">
        <f t="shared" ca="1" si="4"/>
        <v>1.9204071910883247E-3</v>
      </c>
      <c r="I159" s="33">
        <f t="shared" ca="1" si="5"/>
        <v>-0.10189046337161445</v>
      </c>
      <c r="J159" s="8"/>
      <c r="K159" s="8"/>
      <c r="L159" s="8"/>
      <c r="M159" s="8"/>
      <c r="N159" s="8"/>
    </row>
    <row r="160" spans="1:19" ht="15" customHeight="1" x14ac:dyDescent="0.25">
      <c r="A160" s="8"/>
      <c r="B160" s="173" t="s">
        <v>609</v>
      </c>
      <c r="C160" s="219">
        <f ca="1">Engine!C251</f>
        <v>0.15879655825400396</v>
      </c>
      <c r="D160" s="219">
        <f ca="1">Engine!C252</f>
        <v>0.15897644341917927</v>
      </c>
      <c r="E160" s="219">
        <f ca="1">Engine!C253</f>
        <v>0.1577781766647928</v>
      </c>
      <c r="F160" s="219">
        <f ca="1">Engine!C254</f>
        <v>0.1601904334042151</v>
      </c>
      <c r="G160" s="19">
        <f t="shared" ca="1" si="3"/>
        <v>1.7988516517530861E-4</v>
      </c>
      <c r="H160" s="19">
        <f t="shared" ca="1" si="4"/>
        <v>-1.0183815892111647E-3</v>
      </c>
      <c r="I160" s="19">
        <f t="shared" ca="1" si="5"/>
        <v>1.3938751502111379E-3</v>
      </c>
      <c r="J160" s="8"/>
      <c r="K160" s="8"/>
      <c r="L160" s="8"/>
      <c r="M160" s="8"/>
      <c r="N160" s="8"/>
    </row>
    <row r="161" spans="1:19" ht="15" customHeight="1" x14ac:dyDescent="0.25">
      <c r="A161" s="8"/>
      <c r="B161" s="173" t="s">
        <v>629</v>
      </c>
      <c r="C161" s="219">
        <f>E225</f>
        <v>0.13244639910571748</v>
      </c>
      <c r="D161" s="219">
        <f>F359</f>
        <v>0.13244639910571746</v>
      </c>
      <c r="E161" s="219">
        <f>F360</f>
        <v>0.11257943923985983</v>
      </c>
      <c r="F161" s="219">
        <f>E349</f>
        <v>0.19866959865857625</v>
      </c>
      <c r="G161" s="19">
        <f t="shared" si="3"/>
        <v>0</v>
      </c>
      <c r="H161" s="19">
        <f t="shared" si="4"/>
        <v>-1.9866959865857653E-2</v>
      </c>
      <c r="I161" s="19">
        <f t="shared" si="5"/>
        <v>6.6223199552858769E-2</v>
      </c>
      <c r="J161" s="8"/>
      <c r="K161" s="8"/>
      <c r="L161" s="8"/>
      <c r="M161" s="8"/>
      <c r="N161" s="8"/>
    </row>
    <row r="162" spans="1:19" ht="15" customHeight="1" thickBot="1" x14ac:dyDescent="0.3">
      <c r="A162" s="8"/>
      <c r="B162" s="213" t="s">
        <v>617</v>
      </c>
      <c r="C162" s="218">
        <f ca="1">Engine!C215</f>
        <v>11193.541478997471</v>
      </c>
      <c r="D162" s="218">
        <f ca="1">Engine!C216</f>
        <v>9821.5955647021437</v>
      </c>
      <c r="E162" s="218">
        <f ca="1">Engine!C217</f>
        <v>10748.335228805299</v>
      </c>
      <c r="F162" s="218">
        <f ca="1">Engine!C218</f>
        <v>5942.5852371489873</v>
      </c>
      <c r="G162" s="33">
        <f t="shared" ca="1" si="3"/>
        <v>-1371.9459142953274</v>
      </c>
      <c r="H162" s="33">
        <f t="shared" ca="1" si="4"/>
        <v>-445.20625019217186</v>
      </c>
      <c r="I162" s="33">
        <f t="shared" ca="1" si="5"/>
        <v>-5250.9562418484838</v>
      </c>
      <c r="J162" s="8"/>
      <c r="K162" s="8"/>
      <c r="L162" s="8"/>
      <c r="M162" s="8"/>
      <c r="N162" s="8"/>
    </row>
    <row r="163" spans="1:19" ht="15" customHeight="1" x14ac:dyDescent="0.25">
      <c r="A163" s="8"/>
      <c r="B163" s="13"/>
      <c r="C163" s="40"/>
      <c r="D163" s="40"/>
      <c r="E163" s="40"/>
      <c r="F163" s="40"/>
      <c r="G163" s="40"/>
      <c r="H163" s="40"/>
      <c r="I163" s="40"/>
      <c r="J163" s="8"/>
      <c r="K163" s="8"/>
      <c r="L163" s="8"/>
      <c r="M163" s="8"/>
      <c r="N163" s="8"/>
    </row>
    <row r="164" spans="1:19" ht="15" customHeight="1" x14ac:dyDescent="0.25">
      <c r="A164" s="140"/>
      <c r="B164" s="207" t="s">
        <v>630</v>
      </c>
      <c r="C164" s="208"/>
      <c r="D164" s="208"/>
      <c r="E164" s="208"/>
      <c r="F164" s="208"/>
      <c r="G164" s="208"/>
      <c r="H164" s="208"/>
      <c r="I164" s="208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</row>
    <row r="165" spans="1:19" ht="15" customHeight="1" x14ac:dyDescent="0.25">
      <c r="A165" s="8"/>
      <c r="B165" s="229">
        <f ca="1">E137</f>
        <v>1.7379543720731975E-2</v>
      </c>
      <c r="C165" s="56">
        <v>-0.02</v>
      </c>
      <c r="D165" s="56">
        <v>-0.01</v>
      </c>
      <c r="E165" s="56">
        <v>-5.0000000000000001E-3</v>
      </c>
      <c r="F165" s="51">
        <v>0</v>
      </c>
      <c r="G165" s="56">
        <v>5.0000000000000001E-3</v>
      </c>
      <c r="H165" s="56">
        <v>0.01</v>
      </c>
      <c r="I165" s="56">
        <v>0.02</v>
      </c>
      <c r="J165" s="8"/>
      <c r="K165" s="8"/>
      <c r="L165" s="8"/>
      <c r="M165" s="8"/>
      <c r="N165" s="8"/>
    </row>
    <row r="166" spans="1:19" ht="15" customHeight="1" x14ac:dyDescent="0.25">
      <c r="A166" s="8"/>
      <c r="B166" s="228">
        <v>0.2</v>
      </c>
      <c r="C166" s="40">
        <f ca="1">(Engine!$E$126*Engine!$E$14+Engine!$E$128*(Engine!$D$116+Engine!$C$24*(Engine!$E$15+C$165-Engine!$D$15))+Engine!$E$129*((Engine!$E$15+C$165)+Engine!$E$27)+Engine!$E$130*((Engine!$E$17+C$165)+Engine!$E$26)-(Engine!$E$136*MAX(0,Engine!$D$117+$B166*(Engine!$E$14+C$165-Engine!$D$14)))-(Engine!$E$137*((Engine!$E$15+C$165)+Engine!$E$27))-(Engine!$E$138*((Engine!$E$14+C$165)+Engine!$E$28))-(Engine!$E$139*((Engine!$E$17+C$165)+Engine!$E$29))-(Engine!$E$140*Engine!$E$30))/$E$135</f>
        <v>1.3992409413728266E-2</v>
      </c>
      <c r="D166" s="40">
        <f ca="1">(Engine!$E$126*Engine!$E$14+Engine!$E$128*(Engine!$D$116+Engine!$C$24*(Engine!$E$15+D$165-Engine!$D$15))+Engine!$E$129*((Engine!$E$15+D$165)+Engine!$E$27)+Engine!$E$130*((Engine!$E$17+D$165)+Engine!$E$26)-(Engine!$E$136*MAX(0,Engine!$D$117+$B166*(Engine!$E$14+D$165-Engine!$D$14)))-(Engine!$E$137*((Engine!$E$15+D$165)+Engine!$E$27))-(Engine!$E$138*((Engine!$E$14+D$165)+Engine!$E$28))-(Engine!$E$139*((Engine!$E$17+D$165)+Engine!$E$29))-(Engine!$E$140*Engine!$E$30))/$E$135</f>
        <v>1.5474828592786444E-2</v>
      </c>
      <c r="E166" s="40">
        <f ca="1">(Engine!$E$126*Engine!$E$14+Engine!$E$128*(Engine!$D$116+Engine!$C$24*(Engine!$E$15+E$165-Engine!$D$15))+Engine!$E$129*((Engine!$E$15+E$165)+Engine!$E$27)+Engine!$E$130*((Engine!$E$17+E$165)+Engine!$E$26)-(Engine!$E$136*MAX(0,Engine!$D$117+$B166*(Engine!$E$14+E$165-Engine!$D$14)))-(Engine!$E$137*((Engine!$E$15+E$165)+Engine!$E$27))-(Engine!$E$138*((Engine!$E$14+E$165)+Engine!$E$28))-(Engine!$E$139*((Engine!$E$17+E$165)+Engine!$E$29))-(Engine!$E$140*Engine!$E$30))/$E$135</f>
        <v>1.6216038182315522E-2</v>
      </c>
      <c r="F166" s="40">
        <f ca="1">(Engine!$E$126*Engine!$E$14+Engine!$E$128*(Engine!$D$116+Engine!$C$24*(Engine!$E$15+F$165-Engine!$D$15))+Engine!$E$129*((Engine!$E$15+F$165)+Engine!$E$27)+Engine!$E$130*((Engine!$E$17+F$165)+Engine!$E$26)-(Engine!$E$136*MAX(0,Engine!$D$117+$B166*(Engine!$E$14+F$165-Engine!$D$14)))-(Engine!$E$137*((Engine!$E$15+F$165)+Engine!$E$27))-(Engine!$E$138*((Engine!$E$14+F$165)+Engine!$E$28))-(Engine!$E$139*((Engine!$E$17+F$165)+Engine!$E$29))-(Engine!$E$140*Engine!$E$30))/$E$135</f>
        <v>1.6957247771844607E-2</v>
      </c>
      <c r="G166" s="40">
        <f ca="1">(Engine!$E$126*Engine!$E$14+Engine!$E$128*(Engine!$D$116+Engine!$C$24*(Engine!$E$15+G$165-Engine!$D$15))+Engine!$E$129*((Engine!$E$15+G$165)+Engine!$E$27)+Engine!$E$130*((Engine!$E$17+G$165)+Engine!$E$26)-(Engine!$E$136*MAX(0,Engine!$D$117+$B166*(Engine!$E$14+G$165-Engine!$D$14)))-(Engine!$E$137*((Engine!$E$15+G$165)+Engine!$E$27))-(Engine!$E$138*((Engine!$E$14+G$165)+Engine!$E$28))-(Engine!$E$139*((Engine!$E$17+G$165)+Engine!$E$29))-(Engine!$E$140*Engine!$E$30))/$E$135</f>
        <v>1.7698457361373699E-2</v>
      </c>
      <c r="H166" s="40">
        <f ca="1">(Engine!$E$126*Engine!$E$14+Engine!$E$128*(Engine!$D$116+Engine!$C$24*(Engine!$E$15+H$165-Engine!$D$15))+Engine!$E$129*((Engine!$E$15+H$165)+Engine!$E$27)+Engine!$E$130*((Engine!$E$17+H$165)+Engine!$E$26)-(Engine!$E$136*MAX(0,Engine!$D$117+$B166*(Engine!$E$14+H$165-Engine!$D$14)))-(Engine!$E$137*((Engine!$E$15+H$165)+Engine!$E$27))-(Engine!$E$138*((Engine!$E$14+H$165)+Engine!$E$28))-(Engine!$E$139*((Engine!$E$17+H$165)+Engine!$E$29))-(Engine!$E$140*Engine!$E$30))/$E$135</f>
        <v>1.8439666950902787E-2</v>
      </c>
      <c r="I166" s="40">
        <f ca="1">(Engine!$E$126*Engine!$E$14+Engine!$E$128*(Engine!$D$116+Engine!$C$24*(Engine!$E$15+I$165-Engine!$D$15))+Engine!$E$129*((Engine!$E$15+I$165)+Engine!$E$27)+Engine!$E$130*((Engine!$E$17+I$165)+Engine!$E$26)-(Engine!$E$136*MAX(0,Engine!$D$117+$B166*(Engine!$E$14+I$165-Engine!$D$14)))-(Engine!$E$137*((Engine!$E$15+I$165)+Engine!$E$27))-(Engine!$E$138*((Engine!$E$14+I$165)+Engine!$E$28))-(Engine!$E$139*((Engine!$E$17+I$165)+Engine!$E$29))-(Engine!$E$140*Engine!$E$30))/$E$135</f>
        <v>1.9922086129960961E-2</v>
      </c>
      <c r="J166" s="8"/>
      <c r="K166" s="8"/>
      <c r="L166" s="8"/>
      <c r="M166" s="8"/>
      <c r="N166" s="8"/>
    </row>
    <row r="167" spans="1:19" ht="15" customHeight="1" x14ac:dyDescent="0.25">
      <c r="A167" s="8"/>
      <c r="B167" s="228">
        <v>0.25</v>
      </c>
      <c r="C167" s="40">
        <f ca="1">(Engine!$E$126*Engine!$E$14+Engine!$E$128*(Engine!$D$116+Engine!$C$24*(Engine!$E$15+C$165-Engine!$D$15))+Engine!$E$129*((Engine!$E$15+C$165)+Engine!$E$27)+Engine!$E$130*((Engine!$E$17+C$165)+Engine!$E$26)-(Engine!$E$136*MAX(0,Engine!$D$117+$B167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67" s="40">
        <f ca="1">(Engine!$E$126*Engine!$E$14+Engine!$E$128*(Engine!$D$116+Engine!$C$24*(Engine!$E$15+D$165-Engine!$D$15))+Engine!$E$129*((Engine!$E$15+D$165)+Engine!$E$27)+Engine!$E$130*((Engine!$E$17+D$165)+Engine!$E$26)-(Engine!$E$136*MAX(0,Engine!$D$117+$B167*(Engine!$E$14+D$165-Engine!$D$14)))-(Engine!$E$137*((Engine!$E$15+D$165)+Engine!$E$27))-(Engine!$E$138*((Engine!$E$14+D$165)+Engine!$E$28))-(Engine!$E$139*((Engine!$E$17+D$165)+Engine!$E$29))-(Engine!$E$140*Engine!$E$30))/$E$135</f>
        <v>1.6002698528895649E-2</v>
      </c>
      <c r="E167" s="40">
        <f ca="1">(Engine!$E$126*Engine!$E$14+Engine!$E$128*(Engine!$D$116+Engine!$C$24*(Engine!$E$15+E$165-Engine!$D$15))+Engine!$E$129*((Engine!$E$15+E$165)+Engine!$E$27)+Engine!$E$130*((Engine!$E$17+E$165)+Engine!$E$26)-(Engine!$E$136*MAX(0,Engine!$D$117+$B167*(Engine!$E$14+E$165-Engine!$D$14)))-(Engine!$E$137*((Engine!$E$15+E$165)+Engine!$E$27))-(Engine!$E$138*((Engine!$E$14+E$165)+Engine!$E$28))-(Engine!$E$139*((Engine!$E$17+E$165)+Engine!$E$29))-(Engine!$E$140*Engine!$E$30))/$E$135</f>
        <v>1.653276014398105E-2</v>
      </c>
      <c r="F167" s="40">
        <f ca="1">(Engine!$E$126*Engine!$E$14+Engine!$E$128*(Engine!$D$116+Engine!$C$24*(Engine!$E$15+F$165-Engine!$D$15))+Engine!$E$129*((Engine!$E$15+F$165)+Engine!$E$27)+Engine!$E$130*((Engine!$E$17+F$165)+Engine!$E$26)-(Engine!$E$136*MAX(0,Engine!$D$117+$B167*(Engine!$E$14+F$165-Engine!$D$14)))-(Engine!$E$137*((Engine!$E$15+F$165)+Engine!$E$27))-(Engine!$E$138*((Engine!$E$14+F$165)+Engine!$E$28))-(Engine!$E$139*((Engine!$E$17+F$165)+Engine!$E$29))-(Engine!$E$140*Engine!$E$30))/$E$135</f>
        <v>1.7062821759066454E-2</v>
      </c>
      <c r="G167" s="40">
        <f ca="1">(Engine!$E$126*Engine!$E$14+Engine!$E$128*(Engine!$D$116+Engine!$C$24*(Engine!$E$15+G$165-Engine!$D$15))+Engine!$E$129*((Engine!$E$15+G$165)+Engine!$E$27)+Engine!$E$130*((Engine!$E$17+G$165)+Engine!$E$26)-(Engine!$E$136*MAX(0,Engine!$D$117+$B167*(Engine!$E$14+G$165-Engine!$D$14)))-(Engine!$E$137*((Engine!$E$15+G$165)+Engine!$E$27))-(Engine!$E$138*((Engine!$E$14+G$165)+Engine!$E$28))-(Engine!$E$139*((Engine!$E$17+G$165)+Engine!$E$29))-(Engine!$E$140*Engine!$E$30))/$E$135</f>
        <v>1.7592883374151859E-2</v>
      </c>
      <c r="H167" s="40">
        <f ca="1">(Engine!$E$126*Engine!$E$14+Engine!$E$128*(Engine!$D$116+Engine!$C$24*(Engine!$E$15+H$165-Engine!$D$15))+Engine!$E$129*((Engine!$E$15+H$165)+Engine!$E$27)+Engine!$E$130*((Engine!$E$17+H$165)+Engine!$E$26)-(Engine!$E$136*MAX(0,Engine!$D$117+$B167*(Engine!$E$14+H$165-Engine!$D$14)))-(Engine!$E$137*((Engine!$E$15+H$165)+Engine!$E$27))-(Engine!$E$138*((Engine!$E$14+H$165)+Engine!$E$28))-(Engine!$E$139*((Engine!$E$17+H$165)+Engine!$E$29))-(Engine!$E$140*Engine!$E$30))/$E$135</f>
        <v>1.8122944989237263E-2</v>
      </c>
      <c r="I167" s="40">
        <f ca="1">(Engine!$E$126*Engine!$E$14+Engine!$E$128*(Engine!$D$116+Engine!$C$24*(Engine!$E$15+I$165-Engine!$D$15))+Engine!$E$129*((Engine!$E$15+I$165)+Engine!$E$27)+Engine!$E$130*((Engine!$E$17+I$165)+Engine!$E$26)-(Engine!$E$136*MAX(0,Engine!$D$117+$B167*(Engine!$E$14+I$165-Engine!$D$14)))-(Engine!$E$137*((Engine!$E$15+I$165)+Engine!$E$27))-(Engine!$E$138*((Engine!$E$14+I$165)+Engine!$E$28))-(Engine!$E$139*((Engine!$E$17+I$165)+Engine!$E$29))-(Engine!$E$140*Engine!$E$30))/$E$135</f>
        <v>1.9183068219408066E-2</v>
      </c>
      <c r="J167" s="8"/>
      <c r="K167" s="8"/>
      <c r="L167" s="8"/>
      <c r="M167" s="8"/>
      <c r="N167" s="8"/>
    </row>
    <row r="168" spans="1:19" ht="15" customHeight="1" x14ac:dyDescent="0.25">
      <c r="A168" s="8"/>
      <c r="B168" s="228">
        <v>0.3</v>
      </c>
      <c r="C168" s="40">
        <f ca="1">(Engine!$E$126*Engine!$E$14+Engine!$E$128*(Engine!$D$116+Engine!$C$24*(Engine!$E$15+C$165-Engine!$D$15))+Engine!$E$129*((Engine!$E$15+C$165)+Engine!$E$27)+Engine!$E$130*((Engine!$E$17+C$165)+Engine!$E$26)-(Engine!$E$136*MAX(0,Engine!$D$117+$B168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68" s="40">
        <f ca="1">(Engine!$E$126*Engine!$E$14+Engine!$E$128*(Engine!$D$116+Engine!$C$24*(Engine!$E$15+D$165-Engine!$D$15))+Engine!$E$129*((Engine!$E$15+D$165)+Engine!$E$27)+Engine!$E$130*((Engine!$E$17+D$165)+Engine!$E$26)-(Engine!$E$136*MAX(0,Engine!$D$117+$B168*(Engine!$E$14+D$165-Engine!$D$14)))-(Engine!$E$137*((Engine!$E$15+D$165)+Engine!$E$27))-(Engine!$E$138*((Engine!$E$14+D$165)+Engine!$E$28))-(Engine!$E$139*((Engine!$E$17+D$165)+Engine!$E$29))-(Engine!$E$140*Engine!$E$30))/$E$135</f>
        <v>1.653056846500486E-2</v>
      </c>
      <c r="E168" s="40">
        <f ca="1">(Engine!$E$126*Engine!$E$14+Engine!$E$128*(Engine!$D$116+Engine!$C$24*(Engine!$E$15+E$165-Engine!$D$15))+Engine!$E$129*((Engine!$E$15+E$165)+Engine!$E$27)+Engine!$E$130*((Engine!$E$17+E$165)+Engine!$E$26)-(Engine!$E$136*MAX(0,Engine!$D$117+$B168*(Engine!$E$14+E$165-Engine!$D$14)))-(Engine!$E$137*((Engine!$E$15+E$165)+Engine!$E$27))-(Engine!$E$138*((Engine!$E$14+E$165)+Engine!$E$28))-(Engine!$E$139*((Engine!$E$17+E$165)+Engine!$E$29))-(Engine!$E$140*Engine!$E$30))/$E$135</f>
        <v>1.6849482105646574E-2</v>
      </c>
      <c r="F168" s="40">
        <f ca="1">(Engine!$E$126*Engine!$E$14+Engine!$E$128*(Engine!$D$116+Engine!$C$24*(Engine!$E$15+F$165-Engine!$D$15))+Engine!$E$129*((Engine!$E$15+F$165)+Engine!$E$27)+Engine!$E$130*((Engine!$E$17+F$165)+Engine!$E$26)-(Engine!$E$136*MAX(0,Engine!$D$117+$B168*(Engine!$E$14+F$165-Engine!$D$14)))-(Engine!$E$137*((Engine!$E$15+F$165)+Engine!$E$27))-(Engine!$E$138*((Engine!$E$14+F$165)+Engine!$E$28))-(Engine!$E$139*((Engine!$E$17+F$165)+Engine!$E$29))-(Engine!$E$140*Engine!$E$30))/$E$135</f>
        <v>1.7168395746288295E-2</v>
      </c>
      <c r="G168" s="40">
        <f ca="1">(Engine!$E$126*Engine!$E$14+Engine!$E$128*(Engine!$D$116+Engine!$C$24*(Engine!$E$15+G$165-Engine!$D$15))+Engine!$E$129*((Engine!$E$15+G$165)+Engine!$E$27)+Engine!$E$130*((Engine!$E$17+G$165)+Engine!$E$26)-(Engine!$E$136*MAX(0,Engine!$D$117+$B168*(Engine!$E$14+G$165-Engine!$D$14)))-(Engine!$E$137*((Engine!$E$15+G$165)+Engine!$E$27))-(Engine!$E$138*((Engine!$E$14+G$165)+Engine!$E$28))-(Engine!$E$139*((Engine!$E$17+G$165)+Engine!$E$29))-(Engine!$E$140*Engine!$E$30))/$E$135</f>
        <v>1.7487309386930012E-2</v>
      </c>
      <c r="H168" s="40">
        <f ca="1">(Engine!$E$126*Engine!$E$14+Engine!$E$128*(Engine!$D$116+Engine!$C$24*(Engine!$E$15+H$165-Engine!$D$15))+Engine!$E$129*((Engine!$E$15+H$165)+Engine!$E$27)+Engine!$E$130*((Engine!$E$17+H$165)+Engine!$E$26)-(Engine!$E$136*MAX(0,Engine!$D$117+$B168*(Engine!$E$14+H$165-Engine!$D$14)))-(Engine!$E$137*((Engine!$E$15+H$165)+Engine!$E$27))-(Engine!$E$138*((Engine!$E$14+H$165)+Engine!$E$28))-(Engine!$E$139*((Engine!$E$17+H$165)+Engine!$E$29))-(Engine!$E$140*Engine!$E$30))/$E$135</f>
        <v>1.780622302757174E-2</v>
      </c>
      <c r="I168" s="40">
        <f ca="1">(Engine!$E$126*Engine!$E$14+Engine!$E$128*(Engine!$D$116+Engine!$C$24*(Engine!$E$15+I$165-Engine!$D$15))+Engine!$E$129*((Engine!$E$15+I$165)+Engine!$E$27)+Engine!$E$130*((Engine!$E$17+I$165)+Engine!$E$26)-(Engine!$E$136*MAX(0,Engine!$D$117+$B168*(Engine!$E$14+I$165-Engine!$D$14)))-(Engine!$E$137*((Engine!$E$15+I$165)+Engine!$E$27))-(Engine!$E$138*((Engine!$E$14+I$165)+Engine!$E$28))-(Engine!$E$139*((Engine!$E$17+I$165)+Engine!$E$29))-(Engine!$E$140*Engine!$E$30))/$E$135</f>
        <v>1.8444050308855178E-2</v>
      </c>
      <c r="J168" s="8"/>
      <c r="K168" s="8"/>
      <c r="L168" s="8"/>
      <c r="M168" s="8"/>
      <c r="N168" s="8"/>
    </row>
    <row r="169" spans="1:19" ht="15" customHeight="1" x14ac:dyDescent="0.25">
      <c r="A169" s="8"/>
      <c r="B169" s="228">
        <v>0.4</v>
      </c>
      <c r="C169" s="40">
        <f ca="1">(Engine!$E$126*Engine!$E$14+Engine!$E$128*(Engine!$D$116+Engine!$C$24*(Engine!$E$15+C$165-Engine!$D$15))+Engine!$E$129*((Engine!$E$15+C$165)+Engine!$E$27)+Engine!$E$130*((Engine!$E$17+C$165)+Engine!$E$26)-(Engine!$E$136*MAX(0,Engine!$D$117+$B169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69" s="40">
        <f ca="1">(Engine!$E$126*Engine!$E$14+Engine!$E$128*(Engine!$D$116+Engine!$C$24*(Engine!$E$15+D$165-Engine!$D$15))+Engine!$E$129*((Engine!$E$15+D$165)+Engine!$E$27)+Engine!$E$130*((Engine!$E$17+D$165)+Engine!$E$26)-(Engine!$E$136*MAX(0,Engine!$D$117+$B169*(Engine!$E$14+D$165-Engine!$D$14)))-(Engine!$E$137*((Engine!$E$15+D$165)+Engine!$E$27))-(Engine!$E$138*((Engine!$E$14+D$165)+Engine!$E$28))-(Engine!$E$139*((Engine!$E$17+D$165)+Engine!$E$29))-(Engine!$E$140*Engine!$E$30))/$E$135</f>
        <v>1.7586308337223272E-2</v>
      </c>
      <c r="E169" s="40">
        <f ca="1">(Engine!$E$126*Engine!$E$14+Engine!$E$128*(Engine!$D$116+Engine!$C$24*(Engine!$E$15+E$165-Engine!$D$15))+Engine!$E$129*((Engine!$E$15+E$165)+Engine!$E$27)+Engine!$E$130*((Engine!$E$17+E$165)+Engine!$E$26)-(Engine!$E$136*MAX(0,Engine!$D$117+$B169*(Engine!$E$14+E$165-Engine!$D$14)))-(Engine!$E$137*((Engine!$E$15+E$165)+Engine!$E$27))-(Engine!$E$138*((Engine!$E$14+E$165)+Engine!$E$28))-(Engine!$E$139*((Engine!$E$17+E$165)+Engine!$E$29))-(Engine!$E$140*Engine!$E$30))/$E$135</f>
        <v>1.7482926028977625E-2</v>
      </c>
      <c r="F169" s="40">
        <f ca="1">(Engine!$E$126*Engine!$E$14+Engine!$E$128*(Engine!$D$116+Engine!$C$24*(Engine!$E$15+F$165-Engine!$D$15))+Engine!$E$129*((Engine!$E$15+F$165)+Engine!$E$27)+Engine!$E$130*((Engine!$E$17+F$165)+Engine!$E$26)-(Engine!$E$136*MAX(0,Engine!$D$117+$B169*(Engine!$E$14+F$165-Engine!$D$14)))-(Engine!$E$137*((Engine!$E$15+F$165)+Engine!$E$27))-(Engine!$E$138*((Engine!$E$14+F$165)+Engine!$E$28))-(Engine!$E$139*((Engine!$E$17+F$165)+Engine!$E$29))-(Engine!$E$140*Engine!$E$30))/$E$135</f>
        <v>1.7379543720731975E-2</v>
      </c>
      <c r="G169" s="40">
        <f ca="1">(Engine!$E$126*Engine!$E$14+Engine!$E$128*(Engine!$D$116+Engine!$C$24*(Engine!$E$15+G$165-Engine!$D$15))+Engine!$E$129*((Engine!$E$15+G$165)+Engine!$E$27)+Engine!$E$130*((Engine!$E$17+G$165)+Engine!$E$26)-(Engine!$E$136*MAX(0,Engine!$D$117+$B169*(Engine!$E$14+G$165-Engine!$D$14)))-(Engine!$E$137*((Engine!$E$15+G$165)+Engine!$E$27))-(Engine!$E$138*((Engine!$E$14+G$165)+Engine!$E$28))-(Engine!$E$139*((Engine!$E$17+G$165)+Engine!$E$29))-(Engine!$E$140*Engine!$E$30))/$E$135</f>
        <v>1.7276161412486331E-2</v>
      </c>
      <c r="H169" s="40">
        <f ca="1">(Engine!$E$126*Engine!$E$14+Engine!$E$128*(Engine!$D$116+Engine!$C$24*(Engine!$E$15+H$165-Engine!$D$15))+Engine!$E$129*((Engine!$E$15+H$165)+Engine!$E$27)+Engine!$E$130*((Engine!$E$17+H$165)+Engine!$E$26)-(Engine!$E$136*MAX(0,Engine!$D$117+$B169*(Engine!$E$14+H$165-Engine!$D$14)))-(Engine!$E$137*((Engine!$E$15+H$165)+Engine!$E$27))-(Engine!$E$138*((Engine!$E$14+H$165)+Engine!$E$28))-(Engine!$E$139*((Engine!$E$17+H$165)+Engine!$E$29))-(Engine!$E$140*Engine!$E$30))/$E$135</f>
        <v>1.7172779104240692E-2</v>
      </c>
      <c r="I169" s="40">
        <f ca="1">(Engine!$E$126*Engine!$E$14+Engine!$E$128*(Engine!$D$116+Engine!$C$24*(Engine!$E$15+I$165-Engine!$D$15))+Engine!$E$129*((Engine!$E$15+I$165)+Engine!$E$27)+Engine!$E$130*((Engine!$E$17+I$165)+Engine!$E$26)-(Engine!$E$136*MAX(0,Engine!$D$117+$B169*(Engine!$E$14+I$165-Engine!$D$14)))-(Engine!$E$137*((Engine!$E$15+I$165)+Engine!$E$27))-(Engine!$E$138*((Engine!$E$14+I$165)+Engine!$E$28))-(Engine!$E$139*((Engine!$E$17+I$165)+Engine!$E$29))-(Engine!$E$140*Engine!$E$30))/$E$135</f>
        <v>1.6966014487749394E-2</v>
      </c>
      <c r="K169" s="8"/>
      <c r="L169" s="8"/>
      <c r="M169" s="8"/>
      <c r="N169" s="8"/>
    </row>
    <row r="170" spans="1:19" ht="15" customHeight="1" collapsed="1" x14ac:dyDescent="0.25">
      <c r="A170" s="5"/>
      <c r="B170" s="228">
        <v>0.5</v>
      </c>
      <c r="C170" s="40">
        <f ca="1">(Engine!$E$126*Engine!$E$14+Engine!$E$128*(Engine!$D$116+Engine!$C$24*(Engine!$E$15+C$165-Engine!$D$15))+Engine!$E$129*((Engine!$E$15+C$165)+Engine!$E$27)+Engine!$E$130*((Engine!$E$17+C$165)+Engine!$E$26)-(Engine!$E$136*MAX(0,Engine!$D$117+$B170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70" s="40">
        <f ca="1">(Engine!$E$126*Engine!$E$14+Engine!$E$128*(Engine!$D$116+Engine!$C$24*(Engine!$E$15+D$165-Engine!$D$15))+Engine!$E$129*((Engine!$E$15+D$165)+Engine!$E$27)+Engine!$E$130*((Engine!$E$17+D$165)+Engine!$E$26)-(Engine!$E$136*MAX(0,Engine!$D$117+$B170*(Engine!$E$14+D$165-Engine!$D$14)))-(Engine!$E$137*((Engine!$E$15+D$165)+Engine!$E$27))-(Engine!$E$138*((Engine!$E$14+D$165)+Engine!$E$28))-(Engine!$E$139*((Engine!$E$17+D$165)+Engine!$E$29))-(Engine!$E$140*Engine!$E$30))/$E$135</f>
        <v>1.7586308337223272E-2</v>
      </c>
      <c r="E170" s="40">
        <f ca="1">(Engine!$E$126*Engine!$E$14+Engine!$E$128*(Engine!$D$116+Engine!$C$24*(Engine!$E$15+E$165-Engine!$D$15))+Engine!$E$129*((Engine!$E$15+E$165)+Engine!$E$27)+Engine!$E$130*((Engine!$E$17+E$165)+Engine!$E$26)-(Engine!$E$136*MAX(0,Engine!$D$117+$B170*(Engine!$E$14+E$165-Engine!$D$14)))-(Engine!$E$137*((Engine!$E$15+E$165)+Engine!$E$27))-(Engine!$E$138*((Engine!$E$14+E$165)+Engine!$E$28))-(Engine!$E$139*((Engine!$E$17+E$165)+Engine!$E$29))-(Engine!$E$140*Engine!$E$30))/$E$135</f>
        <v>1.811636995230867E-2</v>
      </c>
      <c r="F170" s="40">
        <f ca="1">(Engine!$E$126*Engine!$E$14+Engine!$E$128*(Engine!$D$116+Engine!$C$24*(Engine!$E$15+F$165-Engine!$D$15))+Engine!$E$129*((Engine!$E$15+F$165)+Engine!$E$27)+Engine!$E$130*((Engine!$E$17+F$165)+Engine!$E$26)-(Engine!$E$136*MAX(0,Engine!$D$117+$B170*(Engine!$E$14+F$165-Engine!$D$14)))-(Engine!$E$137*((Engine!$E$15+F$165)+Engine!$E$27))-(Engine!$E$138*((Engine!$E$14+F$165)+Engine!$E$28))-(Engine!$E$139*((Engine!$E$17+F$165)+Engine!$E$29))-(Engine!$E$140*Engine!$E$30))/$E$135</f>
        <v>1.7590691695175659E-2</v>
      </c>
      <c r="G170" s="40">
        <f ca="1">(Engine!$E$126*Engine!$E$14+Engine!$E$128*(Engine!$D$116+Engine!$C$24*(Engine!$E$15+G$165-Engine!$D$15))+Engine!$E$129*((Engine!$E$15+G$165)+Engine!$E$27)+Engine!$E$130*((Engine!$E$17+G$165)+Engine!$E$26)-(Engine!$E$136*MAX(0,Engine!$D$117+$B170*(Engine!$E$14+G$165-Engine!$D$14)))-(Engine!$E$137*((Engine!$E$15+G$165)+Engine!$E$27))-(Engine!$E$138*((Engine!$E$14+G$165)+Engine!$E$28))-(Engine!$E$139*((Engine!$E$17+G$165)+Engine!$E$29))-(Engine!$E$140*Engine!$E$30))/$E$135</f>
        <v>1.7065013438042655E-2</v>
      </c>
      <c r="H170" s="40">
        <f ca="1">(Engine!$E$126*Engine!$E$14+Engine!$E$128*(Engine!$D$116+Engine!$C$24*(Engine!$E$15+H$165-Engine!$D$15))+Engine!$E$129*((Engine!$E$15+H$165)+Engine!$E$27)+Engine!$E$130*((Engine!$E$17+H$165)+Engine!$E$26)-(Engine!$E$136*MAX(0,Engine!$D$117+$B170*(Engine!$E$14+H$165-Engine!$D$14)))-(Engine!$E$137*((Engine!$E$15+H$165)+Engine!$E$27))-(Engine!$E$138*((Engine!$E$14+H$165)+Engine!$E$28))-(Engine!$E$139*((Engine!$E$17+H$165)+Engine!$E$29))-(Engine!$E$140*Engine!$E$30))/$E$135</f>
        <v>1.653933518090964E-2</v>
      </c>
      <c r="I170" s="40">
        <f ca="1">(Engine!$E$126*Engine!$E$14+Engine!$E$128*(Engine!$D$116+Engine!$C$24*(Engine!$E$15+I$165-Engine!$D$15))+Engine!$E$129*((Engine!$E$15+I$165)+Engine!$E$27)+Engine!$E$130*((Engine!$E$17+I$165)+Engine!$E$26)-(Engine!$E$136*MAX(0,Engine!$D$117+$B170*(Engine!$E$14+I$165-Engine!$D$14)))-(Engine!$E$137*((Engine!$E$15+I$165)+Engine!$E$27))-(Engine!$E$138*((Engine!$E$14+I$165)+Engine!$E$28))-(Engine!$E$139*((Engine!$E$17+I$165)+Engine!$E$29))-(Engine!$E$140*Engine!$E$30))/$E$135</f>
        <v>1.5487978666643618E-2</v>
      </c>
    </row>
    <row r="171" spans="1:19" ht="15" customHeight="1" x14ac:dyDescent="0.25">
      <c r="A171" s="8"/>
      <c r="B171" s="228">
        <v>0.6</v>
      </c>
      <c r="C171" s="40">
        <f ca="1">(Engine!$E$126*Engine!$E$14+Engine!$E$128*(Engine!$D$116+Engine!$C$24*(Engine!$E$15+C$165-Engine!$D$15))+Engine!$E$129*((Engine!$E$15+C$165)+Engine!$E$27)+Engine!$E$130*((Engine!$E$17+C$165)+Engine!$E$26)-(Engine!$E$136*MAX(0,Engine!$D$117+$B171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71" s="40">
        <f ca="1">(Engine!$E$126*Engine!$E$14+Engine!$E$128*(Engine!$D$116+Engine!$C$24*(Engine!$E$15+D$165-Engine!$D$15))+Engine!$E$129*((Engine!$E$15+D$165)+Engine!$E$27)+Engine!$E$130*((Engine!$E$17+D$165)+Engine!$E$26)-(Engine!$E$136*MAX(0,Engine!$D$117+$B171*(Engine!$E$14+D$165-Engine!$D$14)))-(Engine!$E$137*((Engine!$E$15+D$165)+Engine!$E$27))-(Engine!$E$138*((Engine!$E$14+D$165)+Engine!$E$28))-(Engine!$E$139*((Engine!$E$17+D$165)+Engine!$E$29))-(Engine!$E$140*Engine!$E$30))/$E$135</f>
        <v>1.7586308337223272E-2</v>
      </c>
      <c r="E171" s="40">
        <f ca="1">(Engine!$E$126*Engine!$E$14+Engine!$E$128*(Engine!$D$116+Engine!$C$24*(Engine!$E$15+E$165-Engine!$D$15))+Engine!$E$129*((Engine!$E$15+E$165)+Engine!$E$27)+Engine!$E$130*((Engine!$E$17+E$165)+Engine!$E$26)-(Engine!$E$136*MAX(0,Engine!$D$117+$B171*(Engine!$E$14+E$165-Engine!$D$14)))-(Engine!$E$137*((Engine!$E$15+E$165)+Engine!$E$27))-(Engine!$E$138*((Engine!$E$14+E$165)+Engine!$E$28))-(Engine!$E$139*((Engine!$E$17+E$165)+Engine!$E$29))-(Engine!$E$140*Engine!$E$30))/$E$135</f>
        <v>1.8749813875639721E-2</v>
      </c>
      <c r="F171" s="40">
        <f ca="1">(Engine!$E$126*Engine!$E$14+Engine!$E$128*(Engine!$D$116+Engine!$C$24*(Engine!$E$15+F$165-Engine!$D$15))+Engine!$E$129*((Engine!$E$15+F$165)+Engine!$E$27)+Engine!$E$130*((Engine!$E$17+F$165)+Engine!$E$26)-(Engine!$E$136*MAX(0,Engine!$D$117+$B171*(Engine!$E$14+F$165-Engine!$D$14)))-(Engine!$E$137*((Engine!$E$15+F$165)+Engine!$E$27))-(Engine!$E$138*((Engine!$E$14+F$165)+Engine!$E$28))-(Engine!$E$139*((Engine!$E$17+F$165)+Engine!$E$29))-(Engine!$E$140*Engine!$E$30))/$E$135</f>
        <v>1.7801839669619346E-2</v>
      </c>
      <c r="G171" s="40">
        <f ca="1">(Engine!$E$126*Engine!$E$14+Engine!$E$128*(Engine!$D$116+Engine!$C$24*(Engine!$E$15+G$165-Engine!$D$15))+Engine!$E$129*((Engine!$E$15+G$165)+Engine!$E$27)+Engine!$E$130*((Engine!$E$17+G$165)+Engine!$E$26)-(Engine!$E$136*MAX(0,Engine!$D$117+$B171*(Engine!$E$14+G$165-Engine!$D$14)))-(Engine!$E$137*((Engine!$E$15+G$165)+Engine!$E$27))-(Engine!$E$138*((Engine!$E$14+G$165)+Engine!$E$28))-(Engine!$E$139*((Engine!$E$17+G$165)+Engine!$E$29))-(Engine!$E$140*Engine!$E$30))/$E$135</f>
        <v>1.6853865463598967E-2</v>
      </c>
      <c r="H171" s="40">
        <f ca="1">(Engine!$E$126*Engine!$E$14+Engine!$E$128*(Engine!$D$116+Engine!$C$24*(Engine!$E$15+H$165-Engine!$D$15))+Engine!$E$129*((Engine!$E$15+H$165)+Engine!$E$27)+Engine!$E$130*((Engine!$E$17+H$165)+Engine!$E$26)-(Engine!$E$136*MAX(0,Engine!$D$117+$B171*(Engine!$E$14+H$165-Engine!$D$14)))-(Engine!$E$137*((Engine!$E$15+H$165)+Engine!$E$27))-(Engine!$E$138*((Engine!$E$14+H$165)+Engine!$E$28))-(Engine!$E$139*((Engine!$E$17+H$165)+Engine!$E$29))-(Engine!$E$140*Engine!$E$30))/$E$135</f>
        <v>1.5905891257578592E-2</v>
      </c>
      <c r="I171" s="40">
        <f ca="1">(Engine!$E$126*Engine!$E$14+Engine!$E$128*(Engine!$D$116+Engine!$C$24*(Engine!$E$15+I$165-Engine!$D$15))+Engine!$E$129*((Engine!$E$15+I$165)+Engine!$E$27)+Engine!$E$130*((Engine!$E$17+I$165)+Engine!$E$26)-(Engine!$E$136*MAX(0,Engine!$D$117+$B171*(Engine!$E$14+I$165-Engine!$D$14)))-(Engine!$E$137*((Engine!$E$15+I$165)+Engine!$E$27))-(Engine!$E$138*((Engine!$E$14+I$165)+Engine!$E$28))-(Engine!$E$139*((Engine!$E$17+I$165)+Engine!$E$29))-(Engine!$E$140*Engine!$E$30))/$E$135</f>
        <v>1.4009942845537837E-2</v>
      </c>
      <c r="K171" s="58"/>
      <c r="L171" s="58"/>
      <c r="M171" s="58"/>
      <c r="N171" s="58"/>
    </row>
    <row r="172" spans="1:19" ht="15" customHeight="1" x14ac:dyDescent="0.25">
      <c r="A172" s="8"/>
      <c r="B172" s="228">
        <v>0.7</v>
      </c>
      <c r="C172" s="40">
        <f ca="1">(Engine!$E$126*Engine!$E$14+Engine!$E$128*(Engine!$D$116+Engine!$C$24*(Engine!$E$15+C$165-Engine!$D$15))+Engine!$E$129*((Engine!$E$15+C$165)+Engine!$E$27)+Engine!$E$130*((Engine!$E$17+C$165)+Engine!$E$26)-(Engine!$E$136*MAX(0,Engine!$D$117+$B172*(Engine!$E$14+C$165-Engine!$D$14)))-(Engine!$E$137*((Engine!$E$15+C$165)+Engine!$E$27))-(Engine!$E$138*((Engine!$E$14+C$165)+Engine!$E$28))-(Engine!$E$139*((Engine!$E$17+C$165)+Engine!$E$29))-(Engine!$E$140*Engine!$E$30))/$E$135</f>
        <v>1.4414705362615632E-2</v>
      </c>
      <c r="D172" s="40">
        <f ca="1">(Engine!$E$126*Engine!$E$14+Engine!$E$128*(Engine!$D$116+Engine!$C$24*(Engine!$E$15+D$165-Engine!$D$15))+Engine!$E$129*((Engine!$E$15+D$165)+Engine!$E$27)+Engine!$E$130*((Engine!$E$17+D$165)+Engine!$E$26)-(Engine!$E$136*MAX(0,Engine!$D$117+$B172*(Engine!$E$14+D$165-Engine!$D$14)))-(Engine!$E$137*((Engine!$E$15+D$165)+Engine!$E$27))-(Engine!$E$138*((Engine!$E$14+D$165)+Engine!$E$28))-(Engine!$E$139*((Engine!$E$17+D$165)+Engine!$E$29))-(Engine!$E$140*Engine!$E$30))/$E$135</f>
        <v>1.7586308337223272E-2</v>
      </c>
      <c r="E172" s="40">
        <f ca="1">(Engine!$E$126*Engine!$E$14+Engine!$E$128*(Engine!$D$116+Engine!$C$24*(Engine!$E$15+E$165-Engine!$D$15))+Engine!$E$129*((Engine!$E$15+E$165)+Engine!$E$27)+Engine!$E$130*((Engine!$E$17+E$165)+Engine!$E$26)-(Engine!$E$136*MAX(0,Engine!$D$117+$B172*(Engine!$E$14+E$165-Engine!$D$14)))-(Engine!$E$137*((Engine!$E$15+E$165)+Engine!$E$27))-(Engine!$E$138*((Engine!$E$14+E$165)+Engine!$E$28))-(Engine!$E$139*((Engine!$E$17+E$165)+Engine!$E$29))-(Engine!$E$140*Engine!$E$30))/$E$135</f>
        <v>1.9172109824527085E-2</v>
      </c>
      <c r="F172" s="40">
        <f ca="1">(Engine!$E$126*Engine!$E$14+Engine!$E$128*(Engine!$D$116+Engine!$C$24*(Engine!$E$15+F$165-Engine!$D$15))+Engine!$E$129*((Engine!$E$15+F$165)+Engine!$E$27)+Engine!$E$130*((Engine!$E$17+F$165)+Engine!$E$26)-(Engine!$E$136*MAX(0,Engine!$D$117+$B172*(Engine!$E$14+F$165-Engine!$D$14)))-(Engine!$E$137*((Engine!$E$15+F$165)+Engine!$E$27))-(Engine!$E$138*((Engine!$E$14+F$165)+Engine!$E$28))-(Engine!$E$139*((Engine!$E$17+F$165)+Engine!$E$29))-(Engine!$E$140*Engine!$E$30))/$E$135</f>
        <v>1.8012987644063023E-2</v>
      </c>
      <c r="G172" s="40">
        <f ca="1">(Engine!$E$126*Engine!$E$14+Engine!$E$128*(Engine!$D$116+Engine!$C$24*(Engine!$E$15+G$165-Engine!$D$15))+Engine!$E$129*((Engine!$E$15+G$165)+Engine!$E$27)+Engine!$E$130*((Engine!$E$17+G$165)+Engine!$E$26)-(Engine!$E$136*MAX(0,Engine!$D$117+$B172*(Engine!$E$14+G$165-Engine!$D$14)))-(Engine!$E$137*((Engine!$E$15+G$165)+Engine!$E$27))-(Engine!$E$138*((Engine!$E$14+G$165)+Engine!$E$28))-(Engine!$E$139*((Engine!$E$17+G$165)+Engine!$E$29))-(Engine!$E$140*Engine!$E$30))/$E$135</f>
        <v>1.6642717489155284E-2</v>
      </c>
      <c r="H172" s="40">
        <f ca="1">(Engine!$E$126*Engine!$E$14+Engine!$E$128*(Engine!$D$116+Engine!$C$24*(Engine!$E$15+H$165-Engine!$D$15))+Engine!$E$129*((Engine!$E$15+H$165)+Engine!$E$27)+Engine!$E$130*((Engine!$E$17+H$165)+Engine!$E$26)-(Engine!$E$136*MAX(0,Engine!$D$117+$B172*(Engine!$E$14+H$165-Engine!$D$14)))-(Engine!$E$137*((Engine!$E$15+H$165)+Engine!$E$27))-(Engine!$E$138*((Engine!$E$14+H$165)+Engine!$E$28))-(Engine!$E$139*((Engine!$E$17+H$165)+Engine!$E$29))-(Engine!$E$140*Engine!$E$30))/$E$135</f>
        <v>1.5272447334247546E-2</v>
      </c>
      <c r="I172" s="40">
        <f ca="1">(Engine!$E$126*Engine!$E$14+Engine!$E$128*(Engine!$D$116+Engine!$C$24*(Engine!$E$15+I$165-Engine!$D$15))+Engine!$E$129*((Engine!$E$15+I$165)+Engine!$E$27)+Engine!$E$130*((Engine!$E$17+I$165)+Engine!$E$26)-(Engine!$E$136*MAX(0,Engine!$D$117+$B172*(Engine!$E$14+I$165-Engine!$D$14)))-(Engine!$E$137*((Engine!$E$15+I$165)+Engine!$E$27))-(Engine!$E$138*((Engine!$E$14+I$165)+Engine!$E$28))-(Engine!$E$139*((Engine!$E$17+I$165)+Engine!$E$29))-(Engine!$E$140*Engine!$E$30))/$E$135</f>
        <v>1.2531907024432062E-2</v>
      </c>
      <c r="K172" s="8"/>
      <c r="L172" s="8"/>
      <c r="M172" s="8"/>
      <c r="N172" s="8"/>
    </row>
    <row r="173" spans="1:19" ht="15" customHeight="1" x14ac:dyDescent="0.25">
      <c r="A173" s="8"/>
      <c r="B173" s="173" t="s">
        <v>631</v>
      </c>
      <c r="C173" s="32"/>
      <c r="D173" s="40"/>
      <c r="K173" s="8"/>
      <c r="L173" s="8"/>
      <c r="M173" s="8"/>
      <c r="N173" s="8"/>
    </row>
    <row r="174" spans="1:19" ht="15" customHeight="1" x14ac:dyDescent="0.25">
      <c r="A174" s="8"/>
      <c r="K174" s="8"/>
      <c r="L174" s="8"/>
      <c r="M174" s="8"/>
      <c r="N174" s="8"/>
    </row>
    <row r="175" spans="1:19" ht="15" customHeight="1" x14ac:dyDescent="0.25">
      <c r="A175" s="8"/>
      <c r="K175" s="8"/>
      <c r="L175" s="8"/>
      <c r="M175" s="8"/>
      <c r="N175" s="8"/>
    </row>
    <row r="176" spans="1:19" ht="15" customHeight="1" thickBot="1" x14ac:dyDescent="0.3">
      <c r="A176" s="140"/>
      <c r="B176" s="206" t="s">
        <v>632</v>
      </c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</row>
    <row r="177" spans="1:19" ht="15" customHeight="1" x14ac:dyDescent="0.25">
      <c r="A177" s="8"/>
      <c r="B177" s="173" t="s">
        <v>633</v>
      </c>
      <c r="C177" s="258">
        <f>Engine!E14+(Engine!C5*(COLUMN()-3)/12)</f>
        <v>2.2499999999999999E-2</v>
      </c>
      <c r="D177" s="258">
        <f>Engine!E14+(Engine!C5*(COLUMN()-3)/12)</f>
        <v>2.2499999999999999E-2</v>
      </c>
      <c r="E177" s="258">
        <f>Engine!E14+(Engine!C5*(COLUMN()-3)/12)</f>
        <v>2.2499999999999999E-2</v>
      </c>
      <c r="F177" s="258">
        <f>Engine!E14+(Engine!C5*(COLUMN()-3)/12)</f>
        <v>2.2499999999999999E-2</v>
      </c>
      <c r="G177" s="258">
        <f>Engine!E14+(Engine!C5*(COLUMN()-3)/12)</f>
        <v>2.2499999999999999E-2</v>
      </c>
      <c r="H177" s="258">
        <f>Engine!E14+(Engine!C5*(COLUMN()-3)/12)</f>
        <v>2.2499999999999999E-2</v>
      </c>
      <c r="I177" s="258">
        <f>Engine!E14+(Engine!C5*(COLUMN()-3)/12)</f>
        <v>2.2499999999999999E-2</v>
      </c>
      <c r="J177" s="258">
        <f>Engine!E14+(Engine!C5*(COLUMN()-3)/12)</f>
        <v>2.2499999999999999E-2</v>
      </c>
      <c r="K177" s="8"/>
      <c r="L177" s="8"/>
      <c r="M177" s="8"/>
      <c r="N177" s="8"/>
    </row>
    <row r="178" spans="1:19" ht="15" customHeight="1" x14ac:dyDescent="0.25">
      <c r="A178" s="8"/>
      <c r="B178" s="217" t="s">
        <v>634</v>
      </c>
      <c r="C178" s="211" t="s">
        <v>635</v>
      </c>
      <c r="D178" s="211" t="s">
        <v>636</v>
      </c>
      <c r="E178" s="211" t="s">
        <v>637</v>
      </c>
      <c r="F178" s="212" t="s">
        <v>638</v>
      </c>
      <c r="G178" s="212" t="s">
        <v>639</v>
      </c>
      <c r="H178" s="212" t="s">
        <v>640</v>
      </c>
      <c r="I178" s="212" t="s">
        <v>641</v>
      </c>
      <c r="J178" s="212" t="s">
        <v>642</v>
      </c>
      <c r="K178" s="140"/>
      <c r="L178" s="140"/>
      <c r="M178" s="140"/>
      <c r="N178" s="140"/>
      <c r="O178" s="140"/>
      <c r="P178" s="140"/>
      <c r="Q178" s="140"/>
      <c r="R178" s="140"/>
      <c r="S178" s="140"/>
    </row>
    <row r="179" spans="1:19" ht="15" customHeight="1" x14ac:dyDescent="0.25">
      <c r="A179" s="8"/>
      <c r="B179" s="173" t="s">
        <v>643</v>
      </c>
      <c r="C179" s="32">
        <f>Engine!D128*(1+Engine!D5/12)</f>
        <v>899601.3949999999</v>
      </c>
      <c r="D179" s="40">
        <f>Engine!D116+(Engine!E116-Engine!D116)*(ROW()-181)/11</f>
        <v>3.8409090909090907E-2</v>
      </c>
      <c r="E179" s="33">
        <f t="shared" ref="E179:E190" si="6">C179*D179/12</f>
        <v>2879.4059802083325</v>
      </c>
      <c r="F179" s="32">
        <f>Engine!D136*(1+Engine!E5/12)</f>
        <v>1077804.7583333335</v>
      </c>
      <c r="G179" s="40">
        <f>Engine!D117+(Engine!E117-Engine!D117)*(ROW()-181)/11</f>
        <v>5.1818181818181833E-3</v>
      </c>
      <c r="H179" s="33">
        <f t="shared" ref="H179:H190" si="7">F179*G179/12</f>
        <v>465.41569109848507</v>
      </c>
      <c r="I179" s="32">
        <f ca="1">(Engine!$E$126*(Engine!$D$14+(Engine!$E$14-Engine!$D$14)*(ROW()-181)/11)/12)+(C179*D179/12)+(Engine!$E$129*((Engine!$D$121+(Engine!$E$121-Engine!$D$121)*(ROW()-181)/11))/12)+(Engine!$E$130*((Engine!$D$119+(Engine!$E$119-Engine!$D$119)*(ROW()-181)/11))/12)-(F179*G179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1871.4515838496018</v>
      </c>
      <c r="J179" s="33">
        <f ca="1">I179</f>
        <v>1871.4515838496018</v>
      </c>
      <c r="K179" s="8"/>
      <c r="L179" s="8"/>
      <c r="M179" s="8"/>
      <c r="N179" s="8"/>
    </row>
    <row r="180" spans="1:19" ht="15" customHeight="1" x14ac:dyDescent="0.25">
      <c r="A180" s="8"/>
      <c r="B180" s="173" t="s">
        <v>644</v>
      </c>
      <c r="C180" s="32">
        <f>C179*(1+Engine!$D$5/12)</f>
        <v>901850.3984874998</v>
      </c>
      <c r="D180" s="40">
        <f>Engine!$D$116+(Engine!$E$116-Engine!$D$116)*(ROW()-181)/11</f>
        <v>3.8204545454545456E-2</v>
      </c>
      <c r="E180" s="33">
        <f t="shared" si="6"/>
        <v>2871.2320451846349</v>
      </c>
      <c r="F180" s="32">
        <f>F179*(1+Engine!$E$5/12)</f>
        <v>1080050.1849131947</v>
      </c>
      <c r="G180" s="40">
        <f>Engine!$D$117+(Engine!$E$117-Engine!$D$117)*(ROW()-181)/11</f>
        <v>5.0909090909090921E-3</v>
      </c>
      <c r="H180" s="33">
        <f t="shared" si="7"/>
        <v>458.20310875105241</v>
      </c>
      <c r="I180" s="32">
        <f ca="1">(Engine!$E$126*(Engine!$D$14+(Engine!$E$14-Engine!$D$14)*(ROW()-181)/11)/12)+(C180*D180/12)+(Engine!$E$129*((Engine!$D$121+(Engine!$E$121-Engine!$D$121)*(ROW()-181)/11))/12)+(Engine!$E$130*((Engine!$D$119+(Engine!$E$119-Engine!$D$119)*(ROW()-181)/11))/12)-(F180*G180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1874.0990802530421</v>
      </c>
      <c r="J180" s="33">
        <f t="shared" ref="J180:J190" ca="1" si="8">J179+I180</f>
        <v>3745.5506641026441</v>
      </c>
      <c r="K180" s="8"/>
      <c r="L180" s="8"/>
      <c r="M180" s="8"/>
      <c r="N180" s="8"/>
    </row>
    <row r="181" spans="1:19" ht="15" customHeight="1" x14ac:dyDescent="0.25">
      <c r="A181" s="8"/>
      <c r="B181" s="173" t="s">
        <v>645</v>
      </c>
      <c r="C181" s="32">
        <f>C180*(1+Engine!$D$5/12)</f>
        <v>904105.02448371844</v>
      </c>
      <c r="D181" s="40">
        <f>Engine!$D$116+(Engine!$E$116-Engine!$D$116)*(ROW()-181)/11</f>
        <v>3.7999999999999999E-2</v>
      </c>
      <c r="E181" s="33">
        <f t="shared" si="6"/>
        <v>2862.9992441984414</v>
      </c>
      <c r="F181" s="32">
        <f>F180*(1+Engine!$E$5/12)</f>
        <v>1082300.2894650972</v>
      </c>
      <c r="G181" s="40">
        <f>Engine!$D$117+(Engine!$E$117-Engine!$D$117)*(ROW()-181)/11</f>
        <v>5.000000000000001E-3</v>
      </c>
      <c r="H181" s="33">
        <f t="shared" si="7"/>
        <v>450.95845394379057</v>
      </c>
      <c r="I181" s="32">
        <f ca="1">(Engine!$E$126*(Engine!$D$14+(Engine!$E$14-Engine!$D$14)*(ROW()-181)/11)/12)+(C181*D181/12)+(Engine!$E$129*((Engine!$D$121+(Engine!$E$121-Engine!$D$121)*(ROW()-181)/11))/12)+(Engine!$E$130*((Engine!$D$119+(Engine!$E$119-Engine!$D$119)*(ROW()-181)/11))/12)-(F181*G181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1876.7197831538149</v>
      </c>
      <c r="J181" s="33">
        <f t="shared" ca="1" si="8"/>
        <v>5622.2704472564592</v>
      </c>
      <c r="K181" s="8"/>
      <c r="L181" s="8"/>
      <c r="M181" s="8"/>
      <c r="N181" s="8"/>
    </row>
    <row r="182" spans="1:19" ht="15" customHeight="1" x14ac:dyDescent="0.25">
      <c r="A182" s="8"/>
      <c r="B182" s="173" t="s">
        <v>646</v>
      </c>
      <c r="C182" s="32">
        <f>C181*(1+Engine!$D$5/12)</f>
        <v>906365.28704492771</v>
      </c>
      <c r="D182" s="40">
        <f>Engine!$D$116+(Engine!$E$116-Engine!$D$116)*(ROW()-181)/11</f>
        <v>3.7795454545454542E-2</v>
      </c>
      <c r="E182" s="33">
        <f t="shared" si="6"/>
        <v>2854.7073340070351</v>
      </c>
      <c r="F182" s="32">
        <f>F181*(1+Engine!$E$5/12)</f>
        <v>1084555.0817348163</v>
      </c>
      <c r="G182" s="40">
        <f>Engine!$D$117+(Engine!$E$117-Engine!$D$117)*(ROW()-181)/11</f>
        <v>4.9090909090909098E-3</v>
      </c>
      <c r="H182" s="33">
        <f t="shared" si="7"/>
        <v>443.68162434606126</v>
      </c>
      <c r="I182" s="32">
        <f ca="1">(Engine!$E$126*(Engine!$D$14+(Engine!$E$14-Engine!$D$14)*(ROW()-181)/11)/12)+(C182*D182/12)+(Engine!$E$129*((Engine!$D$121+(Engine!$E$121-Engine!$D$121)*(ROW()-181)/11))/12)+(Engine!$E$130*((Engine!$D$119+(Engine!$E$119-Engine!$D$119)*(ROW()-181)/11))/12)-(F182*G182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1879.3135516398424</v>
      </c>
      <c r="J182" s="33">
        <f t="shared" ca="1" si="8"/>
        <v>7501.5839988963016</v>
      </c>
      <c r="K182" s="8"/>
      <c r="L182" s="8"/>
      <c r="M182" s="8"/>
      <c r="N182" s="8"/>
    </row>
    <row r="183" spans="1:19" ht="15" customHeight="1" x14ac:dyDescent="0.25">
      <c r="A183" s="8"/>
      <c r="B183" s="173" t="s">
        <v>647</v>
      </c>
      <c r="C183" s="32">
        <f>C182*(1+Engine!$D$5/12)</f>
        <v>908631.20026254002</v>
      </c>
      <c r="D183" s="40">
        <f>Engine!$D$116+(Engine!$E$116-Engine!$D$116)*(ROW()-181)/11</f>
        <v>3.7590909090909091E-2</v>
      </c>
      <c r="E183" s="33">
        <f t="shared" si="6"/>
        <v>2846.3560705193963</v>
      </c>
      <c r="F183" s="32">
        <f>F182*(1+Engine!$E$5/12)</f>
        <v>1086814.5714884307</v>
      </c>
      <c r="G183" s="40">
        <f>Engine!$D$117+(Engine!$E$117-Engine!$D$117)*(ROW()-181)/11</f>
        <v>4.8181818181818187E-3</v>
      </c>
      <c r="H183" s="33">
        <f t="shared" si="7"/>
        <v>436.37251734005173</v>
      </c>
      <c r="I183" s="32">
        <f ca="1">(Engine!$E$126*(Engine!$D$14+(Engine!$E$14-Engine!$D$14)*(ROW()-181)/11)/12)+(C183*D183/12)+(Engine!$E$129*((Engine!$D$121+(Engine!$E$121-Engine!$D$121)*(ROW()-181)/11))/12)+(Engine!$E$130*((Engine!$D$119+(Engine!$E$119-Engine!$D$119)*(ROW()-181)/11))/12)-(F183*G183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1881.8802442379181</v>
      </c>
      <c r="J183" s="33">
        <f t="shared" ca="1" si="8"/>
        <v>9383.4642431342199</v>
      </c>
      <c r="K183" s="8"/>
      <c r="L183" s="8"/>
      <c r="M183" s="8"/>
      <c r="N183" s="8"/>
    </row>
    <row r="184" spans="1:19" ht="15" customHeight="1" x14ac:dyDescent="0.25">
      <c r="A184" s="8"/>
      <c r="B184" s="173" t="s">
        <v>648</v>
      </c>
      <c r="C184" s="32">
        <f>C183*(1+Engine!$D$5/12)</f>
        <v>910902.77826319635</v>
      </c>
      <c r="D184" s="40">
        <f>Engine!$D$116+(Engine!$E$116-Engine!$D$116)*(ROW()-181)/11</f>
        <v>3.7386363636363634E-2</v>
      </c>
      <c r="E184" s="33">
        <f t="shared" si="6"/>
        <v>2837.945208793481</v>
      </c>
      <c r="F184" s="32">
        <f>F183*(1+Engine!$E$5/12)</f>
        <v>1089078.7685123652</v>
      </c>
      <c r="G184" s="40">
        <f>Engine!$D$117+(Engine!$E$117-Engine!$D$117)*(ROW()-181)/11</f>
        <v>4.7272727272727284E-3</v>
      </c>
      <c r="H184" s="33">
        <f t="shared" si="7"/>
        <v>429.0310300200228</v>
      </c>
      <c r="I184" s="32">
        <f ca="1">(Engine!$E$126*(Engine!$D$14+(Engine!$E$14-Engine!$D$14)*(ROW()-181)/11)/12)+(C184*D184/12)+(Engine!$E$129*((Engine!$D$121+(Engine!$E$121-Engine!$D$121)*(ROW()-181)/11))/12)+(Engine!$E$130*((Engine!$D$119+(Engine!$E$119-Engine!$D$119)*(ROW()-181)/11))/12)-(F184*G184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1884.4197189117363</v>
      </c>
      <c r="J184" s="33">
        <f t="shared" ca="1" si="8"/>
        <v>11267.883962045957</v>
      </c>
      <c r="K184" s="8"/>
      <c r="L184" s="8"/>
      <c r="M184" s="8"/>
      <c r="N184" s="8"/>
    </row>
    <row r="185" spans="1:19" ht="15" customHeight="1" x14ac:dyDescent="0.25">
      <c r="A185" s="8"/>
      <c r="B185" s="173" t="s">
        <v>649</v>
      </c>
      <c r="C185" s="32">
        <f>C184*(1+Engine!$D$5/12)</f>
        <v>913180.03520885424</v>
      </c>
      <c r="D185" s="40">
        <f>Engine!$D$116+(Engine!$E$116-Engine!$D$116)*(ROW()-181)/11</f>
        <v>3.7181818181818177E-2</v>
      </c>
      <c r="E185" s="33">
        <f t="shared" si="6"/>
        <v>2829.4745030334948</v>
      </c>
      <c r="F185" s="32">
        <f>F184*(1+Engine!$E$5/12)</f>
        <v>1091347.6826134326</v>
      </c>
      <c r="G185" s="40">
        <f>Engine!$D$117+(Engine!$E$117-Engine!$D$117)*(ROW()-181)/11</f>
        <v>4.6363636363636372E-3</v>
      </c>
      <c r="H185" s="33">
        <f t="shared" si="7"/>
        <v>421.65705919155357</v>
      </c>
      <c r="I185" s="32">
        <f ca="1">(Engine!$E$126*(Engine!$D$14+(Engine!$E$14-Engine!$D$14)*(ROW()-181)/11)/12)+(C185*D185/12)+(Engine!$E$129*((Engine!$D$121+(Engine!$E$121-Engine!$D$121)*(ROW()-181)/11))/12)+(Engine!$E$130*((Engine!$D$119+(Engine!$E$119-Engine!$D$119)*(ROW()-181)/11))/12)-(F185*G185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1886.931833059924</v>
      </c>
      <c r="J185" s="33">
        <f t="shared" ca="1" si="8"/>
        <v>13154.81579510588</v>
      </c>
      <c r="K185" s="8"/>
      <c r="L185" s="8"/>
      <c r="M185" s="8"/>
      <c r="N185" s="8"/>
    </row>
    <row r="186" spans="1:19" ht="15" customHeight="1" x14ac:dyDescent="0.25">
      <c r="A186" s="8"/>
      <c r="B186" s="173" t="s">
        <v>650</v>
      </c>
      <c r="C186" s="32">
        <f>C185*(1+Engine!$D$5/12)</f>
        <v>915462.98529687629</v>
      </c>
      <c r="D186" s="40">
        <f>Engine!$D$116+(Engine!$E$116-Engine!$D$116)*(ROW()-181)/11</f>
        <v>3.6977272727272727E-2</v>
      </c>
      <c r="E186" s="33">
        <f t="shared" si="6"/>
        <v>2820.9437065871548</v>
      </c>
      <c r="F186" s="32">
        <f>F185*(1+Engine!$E$5/12)</f>
        <v>1093621.3236188774</v>
      </c>
      <c r="G186" s="40">
        <f>Engine!$D$117+(Engine!$E$117-Engine!$D$117)*(ROW()-181)/11</f>
        <v>4.5454545454545461E-3</v>
      </c>
      <c r="H186" s="33">
        <f t="shared" si="7"/>
        <v>414.25050137078694</v>
      </c>
      <c r="I186" s="32">
        <f ca="1">(Engine!$E$126*(Engine!$D$14+(Engine!$E$14-Engine!$D$14)*(ROW()-181)/11)/12)+(C186*D186/12)+(Engine!$E$129*((Engine!$D$121+(Engine!$E$121-Engine!$D$121)*(ROW()-181)/11))/12)+(Engine!$E$130*((Engine!$D$119+(Engine!$E$119-Engine!$D$119)*(ROW()-181)/11))/12)-(F186*G186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1889.4164435140549</v>
      </c>
      <c r="J186" s="33">
        <f t="shared" ca="1" si="8"/>
        <v>15044.232238619936</v>
      </c>
      <c r="K186" s="8"/>
      <c r="L186" s="8"/>
      <c r="M186" s="8"/>
      <c r="N186" s="8"/>
    </row>
    <row r="187" spans="1:19" ht="15" customHeight="1" x14ac:dyDescent="0.25">
      <c r="A187" s="8"/>
      <c r="B187" s="173" t="s">
        <v>651</v>
      </c>
      <c r="C187" s="32">
        <f>C186*(1+Engine!$D$5/12)</f>
        <v>917751.64276011847</v>
      </c>
      <c r="D187" s="40">
        <f>Engine!$D$116+(Engine!$E$116-Engine!$D$116)*(ROW()-181)/11</f>
        <v>3.6772727272727269E-2</v>
      </c>
      <c r="E187" s="33">
        <f t="shared" si="6"/>
        <v>2812.3525719429385</v>
      </c>
      <c r="F187" s="32">
        <f>F186*(1+Engine!$E$5/12)</f>
        <v>1095899.701376417</v>
      </c>
      <c r="G187" s="40">
        <f>Engine!$D$117+(Engine!$E$117-Engine!$D$117)*(ROW()-181)/11</f>
        <v>4.454545454545455E-3</v>
      </c>
      <c r="H187" s="33">
        <f t="shared" si="7"/>
        <v>406.81125278366994</v>
      </c>
      <c r="I187" s="32">
        <f ca="1">(Engine!$E$126*(Engine!$D$14+(Engine!$E$14-Engine!$D$14)*(ROW()-181)/11)/12)+(C187*D187/12)+(Engine!$E$129*((Engine!$D$121+(Engine!$E$121-Engine!$D$121)*(ROW()-181)/11))/12)+(Engine!$E$130*((Engine!$D$119+(Engine!$E$119-Engine!$D$119)*(ROW()-181)/11))/12)-(F187*G187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1891.8734065366602</v>
      </c>
      <c r="J187" s="33">
        <f t="shared" ca="1" si="8"/>
        <v>16936.105645156596</v>
      </c>
      <c r="K187" s="8"/>
      <c r="L187" s="8"/>
      <c r="M187" s="8"/>
      <c r="N187" s="8"/>
    </row>
    <row r="188" spans="1:19" ht="15" customHeight="1" x14ac:dyDescent="0.25">
      <c r="A188" s="8"/>
      <c r="B188" s="173" t="s">
        <v>652</v>
      </c>
      <c r="C188" s="32">
        <f>C187*(1+Engine!$D$5/12)</f>
        <v>920046.02186701866</v>
      </c>
      <c r="D188" s="40">
        <f>Engine!$D$116+(Engine!$E$116-Engine!$D$116)*(ROW()-181)/11</f>
        <v>3.6568181818181819E-2</v>
      </c>
      <c r="E188" s="33">
        <f t="shared" si="6"/>
        <v>2803.7008507273354</v>
      </c>
      <c r="F188" s="32">
        <f>F187*(1+Engine!$E$5/12)</f>
        <v>1098182.8257542846</v>
      </c>
      <c r="G188" s="40">
        <f>Engine!$D$117+(Engine!$E$117-Engine!$D$117)*(ROW()-181)/11</f>
        <v>4.3636363636363638E-3</v>
      </c>
      <c r="H188" s="33">
        <f t="shared" si="7"/>
        <v>399.33920936519439</v>
      </c>
      <c r="I188" s="32">
        <f ca="1">(Engine!$E$126*(Engine!$D$14+(Engine!$E$14-Engine!$D$14)*(ROW()-181)/11)/12)+(C188*D188/12)+(Engine!$E$129*((Engine!$D$121+(Engine!$E$121-Engine!$D$121)*(ROW()-181)/11))/12)+(Engine!$E$130*((Engine!$D$119+(Engine!$E$119-Engine!$D$119)*(ROW()-181)/11))/12)-(F188*G188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1894.3025778192375</v>
      </c>
      <c r="J188" s="33">
        <f t="shared" ca="1" si="8"/>
        <v>18830.408222975835</v>
      </c>
      <c r="K188" s="8"/>
      <c r="L188" s="8"/>
      <c r="M188" s="8"/>
      <c r="N188" s="8"/>
    </row>
    <row r="189" spans="1:19" ht="15" customHeight="1" x14ac:dyDescent="0.25">
      <c r="A189" s="8"/>
      <c r="B189" s="173" t="s">
        <v>653</v>
      </c>
      <c r="C189" s="32">
        <f>C188*(1+Engine!$D$5/12)</f>
        <v>922346.13692168612</v>
      </c>
      <c r="D189" s="40">
        <f>Engine!$D$116+(Engine!$E$116-Engine!$D$116)*(ROW()-181)/11</f>
        <v>3.6363636363636362E-2</v>
      </c>
      <c r="E189" s="33">
        <f t="shared" si="6"/>
        <v>2794.9882937020793</v>
      </c>
      <c r="F189" s="32">
        <f>F188*(1+Engine!$E$5/12)</f>
        <v>1100470.7066412729</v>
      </c>
      <c r="G189" s="40">
        <f>Engine!$D$117+(Engine!$E$117-Engine!$D$117)*(ROW()-181)/11</f>
        <v>4.2727272727272735E-3</v>
      </c>
      <c r="H189" s="33">
        <f t="shared" si="7"/>
        <v>391.83426675863512</v>
      </c>
      <c r="I189" s="32">
        <f ca="1">(Engine!$E$126*(Engine!$D$14+(Engine!$E$14-Engine!$D$14)*(ROW()-181)/11)/12)+(C189*D189/12)+(Engine!$E$129*((Engine!$D$121+(Engine!$E$121-Engine!$D$121)*(ROW()-181)/11))/12)+(Engine!$E$130*((Engine!$D$119+(Engine!$E$119-Engine!$D$119)*(ROW()-181)/11))/12)-(F189*G189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1896.7038124802443</v>
      </c>
      <c r="J189" s="33">
        <f t="shared" ca="1" si="8"/>
        <v>20727.112035456081</v>
      </c>
      <c r="K189" s="8"/>
      <c r="L189" s="8"/>
      <c r="M189" s="8"/>
      <c r="N189" s="8"/>
    </row>
    <row r="190" spans="1:19" ht="15" customHeight="1" x14ac:dyDescent="0.25">
      <c r="A190" s="8"/>
      <c r="B190" s="173" t="s">
        <v>654</v>
      </c>
      <c r="C190" s="32">
        <f>C189*(1+Engine!$D$5/12)</f>
        <v>924652.00226399023</v>
      </c>
      <c r="D190" s="40">
        <f>Engine!$D$116+(Engine!$E$116-Engine!$D$116)*(ROW()-181)/11</f>
        <v>3.6159090909090905E-2</v>
      </c>
      <c r="E190" s="33">
        <f t="shared" si="6"/>
        <v>2786.2146507613793</v>
      </c>
      <c r="F190" s="32">
        <f>F189*(1+Engine!$E$5/12)</f>
        <v>1102763.3539467757</v>
      </c>
      <c r="G190" s="40">
        <f>Engine!$D$117+(Engine!$E$117-Engine!$D$117)*(ROW()-181)/11</f>
        <v>4.1818181818181824E-3</v>
      </c>
      <c r="H190" s="33">
        <f t="shared" si="7"/>
        <v>384.29632031478553</v>
      </c>
      <c r="I190" s="32">
        <f ca="1">(Engine!$E$126*(Engine!$D$14+(Engine!$E$14-Engine!$D$14)*(ROW()-181)/11)/12)+(C190*D190/12)+(Engine!$E$129*((Engine!$D$121+(Engine!$E$121-Engine!$D$121)*(ROW()-181)/11))/12)+(Engine!$E$130*((Engine!$D$119+(Engine!$E$119-Engine!$D$119)*(ROW()-181)/11))/12)-(F190*G190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1899.0769650630987</v>
      </c>
      <c r="J190" s="33">
        <f t="shared" ca="1" si="8"/>
        <v>22626.189000519178</v>
      </c>
      <c r="K190" s="8"/>
      <c r="L190" s="8"/>
      <c r="M190" s="8"/>
      <c r="N190" s="8"/>
    </row>
    <row r="191" spans="1:19" ht="15" customHeight="1" x14ac:dyDescent="0.25">
      <c r="A191" s="8"/>
      <c r="B191" s="173" t="s">
        <v>655</v>
      </c>
      <c r="C191" s="8"/>
      <c r="D191" s="8"/>
      <c r="E191" s="8"/>
      <c r="F191" s="8"/>
      <c r="G191" s="8"/>
      <c r="H191" s="8"/>
      <c r="I191" s="8"/>
      <c r="J191" s="33">
        <f ca="1">SUM(I179:I190)</f>
        <v>22626.189000519178</v>
      </c>
      <c r="K191" s="8"/>
      <c r="L191" s="8"/>
      <c r="M191" s="8"/>
      <c r="N191" s="8"/>
    </row>
    <row r="192" spans="1:19" ht="15" customHeight="1" x14ac:dyDescent="0.25">
      <c r="A192" s="8"/>
      <c r="B192" s="173" t="s">
        <v>656</v>
      </c>
      <c r="I192" s="8"/>
      <c r="J192" s="33">
        <f ca="1">J191-D23</f>
        <v>-59.479547791790537</v>
      </c>
      <c r="K192" s="8"/>
      <c r="L192" s="8"/>
      <c r="M192" s="8"/>
      <c r="N192" s="8"/>
    </row>
    <row r="193" spans="1:19" ht="15" customHeight="1" x14ac:dyDescent="0.25">
      <c r="A193" s="8"/>
      <c r="B193" s="173" t="s">
        <v>657</v>
      </c>
      <c r="I193" s="8"/>
      <c r="J193" s="33">
        <f ca="1">ABS(J192/D23)</f>
        <v>2.6218997101682953E-3</v>
      </c>
      <c r="K193" s="8"/>
      <c r="L193" s="8"/>
      <c r="M193" s="8"/>
      <c r="N193" s="8"/>
    </row>
    <row r="194" spans="1:19" ht="15" customHeight="1" x14ac:dyDescent="0.25">
      <c r="A194" s="8"/>
      <c r="I194" s="8"/>
      <c r="J194" s="8"/>
      <c r="K194" s="8"/>
      <c r="L194" s="8"/>
      <c r="M194" s="8"/>
      <c r="N194" s="8"/>
    </row>
    <row r="195" spans="1:19" ht="15" customHeight="1" x14ac:dyDescent="0.25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9" ht="15" customHeight="1" collapsed="1" x14ac:dyDescent="0.25">
      <c r="A196" s="5"/>
      <c r="M196" s="8"/>
      <c r="N196" s="8"/>
    </row>
    <row r="197" spans="1:19" ht="15" customHeight="1" thickBot="1" x14ac:dyDescent="0.3">
      <c r="A197" s="140"/>
      <c r="B197" s="206" t="str">
        <f>"SECTION 13 — MATURITY LADDER | LIQUIDITY STRESS | EBA/GL/2014/35 | Scenario: "&amp;CHOOSE(Engine!C4,"Base","Rate Hike","Rate Cut","Stress")</f>
        <v>SECTION 13 — MATURITY LADDER | LIQUIDITY STRESS | EBA/GL/2014/35 | Scenario: Base</v>
      </c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140"/>
      <c r="N197" s="140"/>
      <c r="O197" s="140"/>
      <c r="P197" s="140"/>
      <c r="Q197" s="140"/>
      <c r="R197" s="140"/>
      <c r="S197" s="140"/>
    </row>
    <row r="198" spans="1:19" ht="15" customHeight="1" x14ac:dyDescent="0.25">
      <c r="A198" s="8"/>
      <c r="B198" s="217" t="s">
        <v>658</v>
      </c>
      <c r="C198" s="211" t="s">
        <v>659</v>
      </c>
      <c r="D198" s="211" t="s">
        <v>660</v>
      </c>
      <c r="E198" s="211" t="s">
        <v>661</v>
      </c>
      <c r="F198" s="212" t="s">
        <v>662</v>
      </c>
      <c r="G198" s="212" t="s">
        <v>663</v>
      </c>
      <c r="H198" s="212" t="s">
        <v>664</v>
      </c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</row>
    <row r="199" spans="1:19" ht="15" customHeight="1" x14ac:dyDescent="0.25">
      <c r="A199" s="8"/>
      <c r="B199" s="173" t="s">
        <v>665</v>
      </c>
      <c r="C199" s="32">
        <f>Engine!D126*0.95</f>
        <v>200763.5</v>
      </c>
      <c r="D199" s="32">
        <f>Engine!D136*0.003+Engine!D137*0.05</f>
        <v>6723.5920000000006</v>
      </c>
      <c r="E199" s="33">
        <f t="shared" ref="E199:E205" si="9">C199-D199</f>
        <v>194039.908</v>
      </c>
      <c r="F199" s="33">
        <f>E199</f>
        <v>194039.908</v>
      </c>
      <c r="G199" s="33">
        <f>C74*0.95</f>
        <v>346215.14999999997</v>
      </c>
      <c r="H199" s="33" t="str">
        <f t="shared" ref="H199:H205" si="10">IF(F199+G199&gt;0,"Solvent","BREACH")</f>
        <v>Solvent</v>
      </c>
      <c r="I199" s="8"/>
      <c r="J199" s="8"/>
      <c r="K199" s="8"/>
      <c r="L199" s="8"/>
      <c r="M199" s="8"/>
      <c r="N199" s="8"/>
    </row>
    <row r="200" spans="1:19" ht="15" customHeight="1" x14ac:dyDescent="0.25">
      <c r="A200" s="8"/>
      <c r="B200" s="173" t="s">
        <v>666</v>
      </c>
      <c r="C200" s="32">
        <f>Engine!D130*0.1</f>
        <v>15310.7</v>
      </c>
      <c r="D200" s="32">
        <f>Engine!D136*0.01+Engine!D138*0.1</f>
        <v>46550.340000000004</v>
      </c>
      <c r="E200" s="33">
        <f t="shared" si="9"/>
        <v>-31239.640000000003</v>
      </c>
      <c r="F200" s="33">
        <f t="shared" ref="F200:F205" si="11">F199+E200</f>
        <v>162800.26799999998</v>
      </c>
      <c r="G200" s="33">
        <f>C74*0.95</f>
        <v>346215.14999999997</v>
      </c>
      <c r="H200" s="33" t="str">
        <f t="shared" si="10"/>
        <v>Solvent</v>
      </c>
      <c r="I200" s="8"/>
      <c r="J200" s="8"/>
      <c r="K200" s="8"/>
      <c r="L200" s="8"/>
      <c r="M200" s="8"/>
      <c r="N200" s="8"/>
    </row>
    <row r="201" spans="1:19" ht="15" customHeight="1" x14ac:dyDescent="0.25">
      <c r="A201" s="8"/>
      <c r="B201" s="11" t="s">
        <v>667</v>
      </c>
      <c r="C201" s="32">
        <f>Engine!D128*0.02+Engine!D129*0.3</f>
        <v>25824.86</v>
      </c>
      <c r="D201" s="32">
        <f>Engine!D136*0.03+Engine!D137*0.5+Engine!D138*0.2</f>
        <v>138825.32</v>
      </c>
      <c r="E201" s="33">
        <f t="shared" si="9"/>
        <v>-113000.46</v>
      </c>
      <c r="F201" s="33">
        <f t="shared" si="11"/>
        <v>49799.807999999975</v>
      </c>
      <c r="G201" s="33">
        <f>C74*1</f>
        <v>364437</v>
      </c>
      <c r="H201" s="33" t="str">
        <f t="shared" si="10"/>
        <v>Solvent</v>
      </c>
      <c r="I201" s="8"/>
      <c r="J201" s="8"/>
      <c r="K201" s="8"/>
      <c r="L201" s="8"/>
      <c r="M201" s="8"/>
      <c r="N201" s="8"/>
    </row>
    <row r="202" spans="1:19" ht="15" customHeight="1" x14ac:dyDescent="0.25">
      <c r="A202" s="8"/>
      <c r="B202" s="11" t="s">
        <v>668</v>
      </c>
      <c r="C202" s="32">
        <f>Engine!D128*0.05+Engine!D130*0.2</f>
        <v>75489.3</v>
      </c>
      <c r="D202" s="32">
        <f>Engine!D136*0.05+Engine!D139*0.15</f>
        <v>79868.150000000009</v>
      </c>
      <c r="E202" s="33">
        <f t="shared" si="9"/>
        <v>-4378.8500000000058</v>
      </c>
      <c r="F202" s="33">
        <f t="shared" si="11"/>
        <v>45420.95799999997</v>
      </c>
      <c r="G202" s="33">
        <f>C74*1</f>
        <v>364437</v>
      </c>
      <c r="H202" s="33" t="str">
        <f t="shared" si="10"/>
        <v>Solvent</v>
      </c>
      <c r="I202" s="8"/>
      <c r="J202" s="8"/>
      <c r="K202" s="8"/>
      <c r="L202" s="8"/>
      <c r="M202" s="8"/>
      <c r="N202" s="8"/>
    </row>
    <row r="203" spans="1:19" ht="15" customHeight="1" x14ac:dyDescent="0.25">
      <c r="A203" s="8"/>
      <c r="B203" s="11" t="s">
        <v>669</v>
      </c>
      <c r="C203" s="32">
        <f>Engine!D128*0.08+Engine!D130*0.15</f>
        <v>94754.69</v>
      </c>
      <c r="D203" s="32">
        <f>Engine!D136*0.07+Engine!D139*0.2</f>
        <v>110076.08000000002</v>
      </c>
      <c r="E203" s="33">
        <f t="shared" si="9"/>
        <v>-15321.390000000014</v>
      </c>
      <c r="F203" s="33">
        <f t="shared" si="11"/>
        <v>30099.567999999956</v>
      </c>
      <c r="G203" s="33">
        <f>C74*1</f>
        <v>364437</v>
      </c>
      <c r="H203" s="33" t="str">
        <f t="shared" si="10"/>
        <v>Solvent</v>
      </c>
      <c r="I203" s="8"/>
      <c r="J203" s="8"/>
      <c r="K203" s="8"/>
      <c r="L203" s="8"/>
      <c r="M203" s="8"/>
      <c r="N203" s="8"/>
    </row>
    <row r="204" spans="1:19" ht="15" customHeight="1" x14ac:dyDescent="0.25">
      <c r="A204" s="8"/>
      <c r="B204" s="11" t="s">
        <v>488</v>
      </c>
      <c r="C204" s="32">
        <f>Engine!D128*0.12+Engine!D130*0.1</f>
        <v>122993.65999999999</v>
      </c>
      <c r="D204" s="32">
        <f>Engine!D136*0.1+Engine!D140*0.3</f>
        <v>117896.8</v>
      </c>
      <c r="E204" s="33">
        <f t="shared" si="9"/>
        <v>5096.859999999986</v>
      </c>
      <c r="F204" s="33">
        <f t="shared" si="11"/>
        <v>35196.427999999942</v>
      </c>
      <c r="G204" s="33">
        <f>C74*1</f>
        <v>364437</v>
      </c>
      <c r="H204" s="33" t="str">
        <f t="shared" si="10"/>
        <v>Solvent</v>
      </c>
      <c r="I204" s="8"/>
      <c r="J204" s="8"/>
      <c r="K204" s="8"/>
      <c r="L204" s="8"/>
      <c r="M204" s="8"/>
      <c r="N204" s="8"/>
    </row>
    <row r="205" spans="1:19" ht="15" customHeight="1" x14ac:dyDescent="0.25">
      <c r="A205" s="8"/>
      <c r="B205" s="11" t="s">
        <v>670</v>
      </c>
      <c r="C205" s="32">
        <f>Engine!D128*0.73+Engine!D130*0.45</f>
        <v>723969.49</v>
      </c>
      <c r="D205" s="32">
        <f>Engine!D136*0.74+Engine!D139*0.65+Engine!D140*0.7</f>
        <v>933101.40999999992</v>
      </c>
      <c r="E205" s="33">
        <f t="shared" si="9"/>
        <v>-209131.91999999993</v>
      </c>
      <c r="F205" s="33">
        <f t="shared" si="11"/>
        <v>-173935.49199999997</v>
      </c>
      <c r="G205" s="33">
        <f>C74*1</f>
        <v>364437</v>
      </c>
      <c r="H205" s="33" t="str">
        <f t="shared" si="10"/>
        <v>Solvent</v>
      </c>
      <c r="I205" s="8"/>
      <c r="J205" s="8"/>
      <c r="K205" s="8"/>
      <c r="L205" s="8"/>
      <c r="M205" s="8"/>
      <c r="N205" s="8"/>
    </row>
    <row r="206" spans="1:19" ht="1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1:19" ht="15" customHeight="1" x14ac:dyDescent="0.25">
      <c r="A207" s="8"/>
      <c r="B207" s="11" t="s">
        <v>671</v>
      </c>
      <c r="C207" s="8"/>
      <c r="D207" s="8"/>
      <c r="E207" s="8"/>
      <c r="F207" s="33" t="str">
        <f>IFERROR(CHOOSE(MATCH("BREACH",H199:H205,0),"1 Day","1 Week","1 Month","3 Months","6 Months","1 Year","2 Year+"),"Beyond 2 years")</f>
        <v>Beyond 2 years</v>
      </c>
      <c r="G207" s="8"/>
      <c r="H207" s="8"/>
      <c r="I207" s="8"/>
      <c r="J207" s="8"/>
      <c r="K207" s="8"/>
      <c r="L207" s="8"/>
      <c r="M207" s="8"/>
      <c r="N207" s="8"/>
    </row>
    <row r="208" spans="1:19" ht="15" customHeight="1" x14ac:dyDescent="0.25">
      <c r="A208" s="8"/>
      <c r="B208" s="11" t="s">
        <v>672</v>
      </c>
      <c r="F208" s="33">
        <f>MIN(F199:F205)</f>
        <v>-173935.49199999997</v>
      </c>
      <c r="H208" s="8"/>
      <c r="I208" s="8"/>
      <c r="J208" s="8"/>
      <c r="K208" s="8"/>
      <c r="L208" s="8"/>
      <c r="M208" s="8"/>
      <c r="N208" s="8"/>
    </row>
    <row r="209" spans="1:19" ht="15" customHeight="1" x14ac:dyDescent="0.25">
      <c r="A209" s="8"/>
      <c r="B209" s="11" t="s">
        <v>673</v>
      </c>
      <c r="C209" s="8"/>
      <c r="D209" s="8"/>
      <c r="E209" s="8"/>
      <c r="F209" s="33">
        <f>MIN(G199:G205)/ABS(MIN(F199:F205))</f>
        <v>1.9904801833084189</v>
      </c>
      <c r="G209" s="8"/>
      <c r="H209" s="8"/>
      <c r="I209" s="8"/>
      <c r="J209" s="8"/>
      <c r="K209" s="8"/>
      <c r="L209" s="8"/>
      <c r="M209" s="8"/>
      <c r="N209" s="8"/>
    </row>
    <row r="210" spans="1:19" ht="15" customHeight="1" x14ac:dyDescent="0.25">
      <c r="A210" s="8"/>
      <c r="B210" s="11" t="s">
        <v>674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1:19" ht="15" customHeight="1" collapsed="1" x14ac:dyDescent="0.25">
      <c r="A211" s="5"/>
    </row>
    <row r="212" spans="1:19" ht="15" customHeight="1" x14ac:dyDescent="0.25">
      <c r="A212" s="8"/>
      <c r="B212" s="11"/>
      <c r="C212" s="48"/>
      <c r="D212" s="48"/>
      <c r="E212" s="48"/>
      <c r="H212" s="8"/>
      <c r="I212" s="8"/>
      <c r="J212" s="8"/>
      <c r="K212" s="8"/>
      <c r="L212" s="8"/>
      <c r="M212" s="8"/>
      <c r="N212" s="8"/>
    </row>
    <row r="213" spans="1:19" ht="15" customHeight="1" thickBot="1" x14ac:dyDescent="0.3">
      <c r="A213" s="8"/>
      <c r="B213" s="16" t="str">
        <f>"SECTION 14 — PVBP / DV1 | DURATION-WEIGHTED EVE | EBA/GL/2022/14 | Scenario: "&amp;CHOOSE(Engine!C4,"Base","Rate Hike","Rate Cut","Stress")</f>
        <v>SECTION 14 — PVBP / DV1 | DURATION-WEIGHTED EVE | EBA/GL/2022/14 | Scenario: Base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" customHeight="1" x14ac:dyDescent="0.25">
      <c r="A214" s="8"/>
      <c r="B214" s="11" t="s">
        <v>658</v>
      </c>
      <c r="C214" s="48" t="s">
        <v>675</v>
      </c>
      <c r="D214" s="48" t="s">
        <v>676</v>
      </c>
      <c r="E214" s="48" t="s">
        <v>677</v>
      </c>
      <c r="F214" s="26" t="s">
        <v>678</v>
      </c>
      <c r="G214" s="26" t="s">
        <v>679</v>
      </c>
      <c r="H214" s="8"/>
      <c r="I214" s="8"/>
      <c r="J214" s="8"/>
      <c r="K214" s="8"/>
      <c r="L214" s="8"/>
      <c r="M214" s="8"/>
      <c r="N214" s="8"/>
    </row>
    <row r="215" spans="1:19" ht="15" customHeight="1" x14ac:dyDescent="0.25">
      <c r="A215" s="8"/>
      <c r="B215" s="11" t="s">
        <v>485</v>
      </c>
      <c r="C215" s="33">
        <f t="shared" ref="C215:C221" si="12">E40</f>
        <v>-498119.5</v>
      </c>
      <c r="D215" s="17">
        <f>Engine!$C$176</f>
        <v>3.0000000000000001E-3</v>
      </c>
      <c r="E215" s="33">
        <f t="shared" ref="E215:E221" si="13">C215*D215*0.0001</f>
        <v>-0.14943585000000001</v>
      </c>
      <c r="F215" s="33">
        <f>E215</f>
        <v>-0.14943585000000001</v>
      </c>
      <c r="G215" s="19">
        <f t="shared" ref="G215:G222" si="14">E215/SUM(E$215:E$221)</f>
        <v>7.6827093738172697E-4</v>
      </c>
      <c r="H215" s="8"/>
      <c r="I215" s="8"/>
      <c r="J215" s="8"/>
      <c r="K215" s="8"/>
      <c r="L215" s="8"/>
      <c r="M215" s="8"/>
      <c r="N215" s="8"/>
    </row>
    <row r="216" spans="1:19" ht="15" customHeight="1" x14ac:dyDescent="0.25">
      <c r="A216" s="8"/>
      <c r="B216" s="11" t="s">
        <v>522</v>
      </c>
      <c r="C216" s="33">
        <f t="shared" si="12"/>
        <v>725142.37000000011</v>
      </c>
      <c r="D216" s="17">
        <f>Engine!$C$177</f>
        <v>0.125</v>
      </c>
      <c r="E216" s="33">
        <f t="shared" si="13"/>
        <v>9.0642796250000011</v>
      </c>
      <c r="F216" s="33">
        <f t="shared" ref="F216:F221" si="15">F215+E216</f>
        <v>8.9148437750000014</v>
      </c>
      <c r="G216" s="19">
        <f t="shared" si="14"/>
        <v>-4.6600749446594238E-2</v>
      </c>
      <c r="H216" s="8"/>
      <c r="I216" s="8"/>
      <c r="J216" s="8"/>
      <c r="K216" s="8"/>
      <c r="L216" s="8"/>
      <c r="M216" s="8"/>
      <c r="N216" s="8"/>
    </row>
    <row r="217" spans="1:19" ht="15" customHeight="1" x14ac:dyDescent="0.25">
      <c r="A217" s="8"/>
      <c r="B217" s="11" t="s">
        <v>523</v>
      </c>
      <c r="C217" s="33">
        <f t="shared" si="12"/>
        <v>-49686.969999999994</v>
      </c>
      <c r="D217" s="17">
        <f>Engine!$C$178</f>
        <v>0.375</v>
      </c>
      <c r="E217" s="33">
        <f t="shared" si="13"/>
        <v>-1.8632613749999998</v>
      </c>
      <c r="F217" s="33">
        <f t="shared" si="15"/>
        <v>7.0515824000000018</v>
      </c>
      <c r="G217" s="19">
        <f t="shared" si="14"/>
        <v>9.5792914696066246E-3</v>
      </c>
      <c r="I217" s="8"/>
      <c r="J217" s="8"/>
      <c r="K217" s="8"/>
      <c r="L217" s="8"/>
      <c r="M217" s="8"/>
      <c r="N217" s="8"/>
    </row>
    <row r="218" spans="1:19" ht="15" customHeight="1" x14ac:dyDescent="0.25">
      <c r="A218" s="8"/>
      <c r="B218" s="11" t="s">
        <v>524</v>
      </c>
      <c r="C218" s="33">
        <f t="shared" si="12"/>
        <v>-70702.779999999984</v>
      </c>
      <c r="D218" s="44">
        <f>Engine!$C$179</f>
        <v>0.75</v>
      </c>
      <c r="E218" s="33">
        <f t="shared" si="13"/>
        <v>-5.3027084999999996</v>
      </c>
      <c r="F218" s="33">
        <f t="shared" si="15"/>
        <v>1.7488739000000022</v>
      </c>
      <c r="G218" s="19">
        <f t="shared" si="14"/>
        <v>2.7261977831671922E-2</v>
      </c>
      <c r="I218" s="8"/>
      <c r="J218" s="8"/>
      <c r="K218" s="8"/>
      <c r="L218" s="8"/>
      <c r="M218" s="8"/>
      <c r="N218" s="8"/>
    </row>
    <row r="219" spans="1:19" ht="15" customHeight="1" x14ac:dyDescent="0.25">
      <c r="A219" s="8"/>
      <c r="B219" s="11" t="s">
        <v>525</v>
      </c>
      <c r="C219" s="33">
        <f t="shared" si="12"/>
        <v>-164703.78999999998</v>
      </c>
      <c r="D219" s="17">
        <f>Engine!$C$180</f>
        <v>1.5</v>
      </c>
      <c r="E219" s="33">
        <f t="shared" si="13"/>
        <v>-24.705568499999998</v>
      </c>
      <c r="F219" s="33">
        <f t="shared" si="15"/>
        <v>-22.956694599999995</v>
      </c>
      <c r="G219" s="19">
        <f t="shared" si="14"/>
        <v>0.12701483793911209</v>
      </c>
      <c r="H219" s="8"/>
      <c r="I219" s="8"/>
      <c r="J219" s="8"/>
      <c r="K219" s="8"/>
      <c r="L219" s="8"/>
      <c r="M219" s="8"/>
      <c r="N219" s="8"/>
    </row>
    <row r="220" spans="1:19" ht="15" customHeight="1" x14ac:dyDescent="0.25">
      <c r="A220" s="8"/>
      <c r="B220" s="11" t="s">
        <v>526</v>
      </c>
      <c r="C220" s="33">
        <f t="shared" si="12"/>
        <v>-241300.32999999996</v>
      </c>
      <c r="D220" s="17">
        <f>Engine!$C$181</f>
        <v>3.5</v>
      </c>
      <c r="E220" s="33">
        <f t="shared" si="13"/>
        <v>-84.455115499999977</v>
      </c>
      <c r="F220" s="33">
        <f t="shared" si="15"/>
        <v>-107.41181009999997</v>
      </c>
      <c r="G220" s="19">
        <f t="shared" si="14"/>
        <v>0.43419574855609949</v>
      </c>
      <c r="H220" s="8"/>
      <c r="I220" s="8"/>
      <c r="J220" s="8"/>
      <c r="K220" s="8"/>
      <c r="L220" s="8"/>
      <c r="M220" s="8"/>
      <c r="N220" s="8"/>
    </row>
    <row r="221" spans="1:19" ht="15" customHeight="1" x14ac:dyDescent="0.25">
      <c r="A221" s="8"/>
      <c r="B221" s="11" t="s">
        <v>680</v>
      </c>
      <c r="C221" s="33">
        <f t="shared" si="12"/>
        <v>-124425</v>
      </c>
      <c r="D221" s="17">
        <f>Engine!$C$182</f>
        <v>7</v>
      </c>
      <c r="E221" s="33">
        <f t="shared" si="13"/>
        <v>-87.097500000000011</v>
      </c>
      <c r="F221" s="33">
        <f t="shared" si="15"/>
        <v>-194.50931009999999</v>
      </c>
      <c r="G221" s="19">
        <f t="shared" si="14"/>
        <v>0.44778062271272234</v>
      </c>
      <c r="H221" s="8"/>
      <c r="I221" s="8"/>
      <c r="J221" s="8"/>
      <c r="K221" s="8"/>
      <c r="L221" s="8"/>
      <c r="M221" s="8"/>
      <c r="N221" s="8"/>
    </row>
    <row r="222" spans="1:19" ht="15" customHeight="1" thickBot="1" x14ac:dyDescent="0.3">
      <c r="A222" s="8"/>
      <c r="B222" s="14" t="s">
        <v>537</v>
      </c>
      <c r="C222" s="8"/>
      <c r="D222" s="8"/>
      <c r="E222" s="33">
        <f>SUM(E215:E221)</f>
        <v>-194.50931009999999</v>
      </c>
      <c r="F222" s="8"/>
      <c r="G222" s="19">
        <f t="shared" si="14"/>
        <v>1</v>
      </c>
      <c r="H222" s="8"/>
      <c r="I222" s="8"/>
      <c r="J222" s="8"/>
      <c r="K222" s="8"/>
      <c r="L222" s="8"/>
      <c r="M222" s="8"/>
      <c r="N222" s="8"/>
    </row>
    <row r="223" spans="1:19" ht="15" customHeight="1" x14ac:dyDescent="0.25">
      <c r="B223" s="45" t="s">
        <v>681</v>
      </c>
      <c r="E223" s="33">
        <f>E222*100*(1-Engine!$C$256)</f>
        <v>-8752.918954499999</v>
      </c>
    </row>
    <row r="224" spans="1:19" ht="15" customHeight="1" x14ac:dyDescent="0.25">
      <c r="B224" s="11" t="s">
        <v>682</v>
      </c>
      <c r="E224" s="33">
        <f>E222*200*(1-Engine!$C$256)</f>
        <v>-17505.837908999998</v>
      </c>
    </row>
    <row r="225" spans="2:19" ht="15" customHeight="1" collapsed="1" x14ac:dyDescent="0.25">
      <c r="B225" s="11" t="s">
        <v>683</v>
      </c>
      <c r="E225" s="44">
        <f>ABS(E224)/Engine!D145</f>
        <v>0.13244639910571748</v>
      </c>
    </row>
    <row r="226" spans="2:19" ht="15" customHeight="1" x14ac:dyDescent="0.25">
      <c r="B226" s="11" t="s">
        <v>684</v>
      </c>
      <c r="E226" s="33" t="str">
        <f>IF(E225&gt;0.15,"OUTLIER: "&amp;TEXT(E225,"0.0%")&amp;" &gt; 15% threshold — structural position, see Pillar 3 disclosure","Within limit")</f>
        <v>Within limit</v>
      </c>
    </row>
    <row r="227" spans="2:19" ht="15" customHeight="1" x14ac:dyDescent="0.25">
      <c r="B227" s="11" t="s">
        <v>685</v>
      </c>
      <c r="C227" s="67"/>
      <c r="D227" s="67"/>
      <c r="E227" s="29">
        <f>ABS(E224-D57)</f>
        <v>3.637978807091713E-12</v>
      </c>
    </row>
    <row r="228" spans="2:19" ht="15" customHeight="1" x14ac:dyDescent="0.25">
      <c r="B228" s="11" t="s">
        <v>686</v>
      </c>
      <c r="C228" s="67"/>
      <c r="D228" s="67"/>
      <c r="E228" s="67"/>
      <c r="F228" s="68"/>
      <c r="G228" s="67"/>
      <c r="H228" s="68"/>
    </row>
    <row r="229" spans="2:19" ht="15" customHeight="1" x14ac:dyDescent="0.25">
      <c r="B229" s="69"/>
    </row>
    <row r="230" spans="2:19" ht="15" customHeight="1" x14ac:dyDescent="0.25">
      <c r="B230" s="264" t="str">
        <f>"SECTION 14b — EVE FULL CASHFLOW DISCOUNTING  |  PILLAR 3 METHOD  |  CRR ART.448  |  EBA/GL/2022/14 Annex II | Scenario: "&amp;CHOOSE(Engine!C4,"Base","Rate Hike","Rate Cut","Stress")</f>
        <v>SECTION 14b — EVE FULL CASHFLOW DISCOUNTING  |  PILLAR 3 METHOD  |  CRR ART.448  |  EBA/GL/2022/14 Annex II | Scenario: Base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ht="15" customHeight="1" x14ac:dyDescent="0.25">
      <c r="B231" s="66" t="s">
        <v>687</v>
      </c>
      <c r="C231" s="67"/>
      <c r="D231" s="67"/>
      <c r="E231" s="67"/>
      <c r="F231" s="59" t="s">
        <v>476</v>
      </c>
      <c r="G231" s="67"/>
      <c r="H231" s="59" t="s">
        <v>477</v>
      </c>
      <c r="I231" s="67"/>
      <c r="J231" s="60" t="s">
        <v>478</v>
      </c>
      <c r="K231" s="67"/>
      <c r="L231" s="61" t="s">
        <v>479</v>
      </c>
      <c r="M231" s="67"/>
      <c r="N231" s="63" t="s">
        <v>480</v>
      </c>
      <c r="O231" s="67"/>
      <c r="P231" s="64" t="s">
        <v>688</v>
      </c>
      <c r="Q231" s="67"/>
      <c r="R231" s="65" t="s">
        <v>689</v>
      </c>
      <c r="S231" s="67"/>
    </row>
    <row r="232" spans="2:19" ht="15" customHeight="1" x14ac:dyDescent="0.25">
      <c r="B232" s="66" t="s">
        <v>690</v>
      </c>
      <c r="C232" s="66" t="s">
        <v>517</v>
      </c>
      <c r="D232" s="66" t="s">
        <v>691</v>
      </c>
      <c r="E232" s="66" t="s">
        <v>692</v>
      </c>
      <c r="F232" s="66" t="s">
        <v>483</v>
      </c>
      <c r="G232" s="66" t="s">
        <v>693</v>
      </c>
      <c r="H232" s="66" t="s">
        <v>483</v>
      </c>
      <c r="I232" s="66" t="s">
        <v>694</v>
      </c>
      <c r="J232" s="66" t="s">
        <v>483</v>
      </c>
      <c r="K232" s="66" t="s">
        <v>694</v>
      </c>
      <c r="L232" s="66" t="s">
        <v>483</v>
      </c>
      <c r="M232" s="66" t="s">
        <v>694</v>
      </c>
      <c r="N232" s="66" t="s">
        <v>483</v>
      </c>
      <c r="O232" s="66" t="s">
        <v>694</v>
      </c>
      <c r="P232" s="66" t="s">
        <v>483</v>
      </c>
      <c r="Q232" s="66" t="s">
        <v>694</v>
      </c>
      <c r="R232" s="66" t="s">
        <v>483</v>
      </c>
      <c r="S232" s="66" t="s">
        <v>694</v>
      </c>
    </row>
    <row r="233" spans="2:19" ht="15" customHeight="1" x14ac:dyDescent="0.25">
      <c r="B233" s="69" t="s">
        <v>485</v>
      </c>
      <c r="C233" s="67">
        <f t="shared" ref="C233:E239" si="16">C40</f>
        <v>224459.5</v>
      </c>
      <c r="D233" s="67">
        <f t="shared" si="16"/>
        <v>722579</v>
      </c>
      <c r="E233" s="67">
        <f t="shared" si="16"/>
        <v>-498119.5</v>
      </c>
      <c r="F233" s="68">
        <f>YieldCurve!D25</f>
        <v>0.99993835996411173</v>
      </c>
      <c r="G233" s="67">
        <f t="shared" ref="G233:G239" si="17">E233*F233</f>
        <v>-498088.79589614336</v>
      </c>
      <c r="H233" s="68">
        <f>YieldCurve!G25</f>
        <v>0.99988357520014781</v>
      </c>
      <c r="I233" s="67">
        <f t="shared" ref="I233:I239" si="18">E233*H233</f>
        <v>-498061.50653691002</v>
      </c>
      <c r="J233" s="68">
        <f>YieldCurve!I25</f>
        <v>0.99999315073184436</v>
      </c>
      <c r="K233" s="67">
        <f t="shared" ref="K233:K239" si="19">E233*J233</f>
        <v>-498116.08824597095</v>
      </c>
      <c r="L233" s="68">
        <f>YieldCurve!K25</f>
        <v>0.99991371958606678</v>
      </c>
      <c r="M233" s="67">
        <f t="shared" ref="M233:M239" si="20">E233*L233</f>
        <v>-498076.52204335178</v>
      </c>
      <c r="N233" s="68">
        <f>YieldCurve!M25</f>
        <v>0.9999630015565879</v>
      </c>
      <c r="O233" s="67">
        <f t="shared" ref="O233:O239" si="21">E233*N233</f>
        <v>-498101.07035386679</v>
      </c>
      <c r="P233" s="68">
        <f>1/POWER(1+MAX(YieldCurve!C25+Engine!$C$49/10000,0),YieldCurve!B25)</f>
        <v>0.99987286733460612</v>
      </c>
      <c r="Q233" s="67">
        <f t="shared" ref="Q233:Q239" si="22">E233*P233</f>
        <v>-498056.17274028034</v>
      </c>
      <c r="R233" s="68">
        <f>1/POWER(1+MAX(YieldCurve!C25+Engine!$C$50/10000,0),YieldCurve!B25)</f>
        <v>1</v>
      </c>
      <c r="S233" s="67">
        <f t="shared" ref="S233:S239" si="23">E233*R233</f>
        <v>-498119.5</v>
      </c>
    </row>
    <row r="234" spans="2:19" ht="15" customHeight="1" x14ac:dyDescent="0.25">
      <c r="B234" s="69" t="s">
        <v>522</v>
      </c>
      <c r="C234" s="67">
        <f t="shared" si="16"/>
        <v>828407.05</v>
      </c>
      <c r="D234" s="67">
        <f t="shared" si="16"/>
        <v>103264.68</v>
      </c>
      <c r="E234" s="67">
        <f t="shared" si="16"/>
        <v>725142.37000000011</v>
      </c>
      <c r="F234" s="68">
        <f>YieldCurve!D26</f>
        <v>0.99415931403007329</v>
      </c>
      <c r="G234" s="67">
        <f t="shared" si="17"/>
        <v>720907.04113334173</v>
      </c>
      <c r="H234" s="68">
        <f>YieldCurve!G26</f>
        <v>0.98924199332261653</v>
      </c>
      <c r="I234" s="67">
        <f t="shared" si="18"/>
        <v>717341.28354148648</v>
      </c>
      <c r="J234" s="68">
        <f>YieldCurve!I26</f>
        <v>0.99912576495566385</v>
      </c>
      <c r="K234" s="67">
        <f t="shared" si="19"/>
        <v>724508.42512801313</v>
      </c>
      <c r="L234" s="68">
        <f>YieldCurve!K26</f>
        <v>0.99205118984139584</v>
      </c>
      <c r="M234" s="67">
        <f t="shared" si="20"/>
        <v>719378.35096290987</v>
      </c>
      <c r="N234" s="68">
        <f>YieldCurve!M26</f>
        <v>0.99627641689186675</v>
      </c>
      <c r="O234" s="67">
        <f t="shared" si="21"/>
        <v>722442.24212007644</v>
      </c>
      <c r="P234" s="68">
        <f>1/POWER(1+MAX(YieldCurve!C26+Engine!$C$49/10000,0),YieldCurve!B26)</f>
        <v>0.98822967582528409</v>
      </c>
      <c r="Q234" s="67">
        <f t="shared" si="22"/>
        <v>716607.20923227828</v>
      </c>
      <c r="R234" s="68">
        <f>1/POWER(1+MAX(YieldCurve!C26+Engine!$C$50/10000,0),YieldCurve!B26)</f>
        <v>1</v>
      </c>
      <c r="S234" s="67">
        <f t="shared" si="23"/>
        <v>725142.37000000011</v>
      </c>
    </row>
    <row r="235" spans="2:19" ht="15" customHeight="1" x14ac:dyDescent="0.25">
      <c r="B235" s="69" t="s">
        <v>523</v>
      </c>
      <c r="C235" s="67">
        <f t="shared" si="16"/>
        <v>25602.510000000002</v>
      </c>
      <c r="D235" s="67">
        <f t="shared" si="16"/>
        <v>75289.48</v>
      </c>
      <c r="E235" s="67">
        <f t="shared" si="16"/>
        <v>-49686.969999999994</v>
      </c>
      <c r="F235" s="68">
        <f>YieldCurve!D27</f>
        <v>0.98829648894668398</v>
      </c>
      <c r="G235" s="67">
        <f t="shared" si="17"/>
        <v>-49105.457997399215</v>
      </c>
      <c r="H235" s="68">
        <f>YieldCurve!G27</f>
        <v>0.97862477465876896</v>
      </c>
      <c r="I235" s="67">
        <f t="shared" si="18"/>
        <v>-48624.899819727005</v>
      </c>
      <c r="J235" s="68">
        <f>YieldCurve!I27</f>
        <v>0.99816128184922515</v>
      </c>
      <c r="K235" s="67">
        <f t="shared" si="19"/>
        <v>-49595.609666403987</v>
      </c>
      <c r="L235" s="68">
        <f>YieldCurve!K27</f>
        <v>0.98435650284038656</v>
      </c>
      <c r="M235" s="67">
        <f t="shared" si="20"/>
        <v>-48909.692025935197</v>
      </c>
      <c r="N235" s="68">
        <f>YieldCurve!M27</f>
        <v>0.99226814218680226</v>
      </c>
      <c r="O235" s="67">
        <f t="shared" si="21"/>
        <v>-49302.797412791369</v>
      </c>
      <c r="P235" s="68">
        <f>1/POWER(1+MAX(YieldCurve!C27+Engine!$C$49/10000,0),YieldCurve!B27)</f>
        <v>0.97651211444673314</v>
      </c>
      <c r="Q235" s="67">
        <f t="shared" si="22"/>
        <v>-48519.928135151393</v>
      </c>
      <c r="R235" s="68">
        <f>1/POWER(1+MAX(YieldCurve!C27+Engine!$C$50/10000,0),YieldCurve!B27)</f>
        <v>1</v>
      </c>
      <c r="S235" s="67">
        <f t="shared" si="23"/>
        <v>-49686.969999999994</v>
      </c>
    </row>
    <row r="236" spans="2:19" ht="15" customHeight="1" x14ac:dyDescent="0.25">
      <c r="B236" s="69" t="s">
        <v>524</v>
      </c>
      <c r="C236" s="67">
        <f t="shared" si="16"/>
        <v>42231.44</v>
      </c>
      <c r="D236" s="67">
        <f t="shared" si="16"/>
        <v>112934.21999999999</v>
      </c>
      <c r="E236" s="67">
        <f t="shared" si="16"/>
        <v>-70702.779999999984</v>
      </c>
      <c r="F236" s="68">
        <f>YieldCurve!D28</f>
        <v>0.97651230919463439</v>
      </c>
      <c r="G236" s="67">
        <f t="shared" si="17"/>
        <v>-69042.134964280194</v>
      </c>
      <c r="H236" s="68">
        <f>YieldCurve!G28</f>
        <v>0.9578061198769976</v>
      </c>
      <c r="I236" s="67">
        <f t="shared" si="18"/>
        <v>-67719.555376316974</v>
      </c>
      <c r="J236" s="68">
        <f>YieldCurve!I28</f>
        <v>0.99596372595271798</v>
      </c>
      <c r="K236" s="67">
        <f t="shared" si="19"/>
        <v>-70417.4042040153</v>
      </c>
      <c r="L236" s="68">
        <f>YieldCurve!K28</f>
        <v>0.96969449519746043</v>
      </c>
      <c r="M236" s="67">
        <f t="shared" si="20"/>
        <v>-68560.096561157086</v>
      </c>
      <c r="N236" s="68">
        <f>YieldCurve!M28</f>
        <v>0.983426672601733</v>
      </c>
      <c r="O236" s="67">
        <f t="shared" si="21"/>
        <v>-69530.999679092347</v>
      </c>
      <c r="P236" s="70">
        <f>YieldCurve!D28</f>
        <v>0.97651230919463439</v>
      </c>
      <c r="Q236" s="67">
        <f t="shared" si="22"/>
        <v>-69042.134964280194</v>
      </c>
      <c r="R236" s="70">
        <f>YieldCurve!D28</f>
        <v>0.97651230919463439</v>
      </c>
      <c r="S236" s="67">
        <f t="shared" si="23"/>
        <v>-69042.134964280194</v>
      </c>
    </row>
    <row r="237" spans="2:19" ht="15" customHeight="1" x14ac:dyDescent="0.25">
      <c r="B237" s="69" t="s">
        <v>525</v>
      </c>
      <c r="C237" s="67">
        <f t="shared" si="16"/>
        <v>40913.21</v>
      </c>
      <c r="D237" s="67">
        <f t="shared" si="16"/>
        <v>205616.99999999997</v>
      </c>
      <c r="E237" s="67">
        <f t="shared" si="16"/>
        <v>-164703.78999999998</v>
      </c>
      <c r="F237" s="68">
        <f>YieldCurve!D29</f>
        <v>0.95218852151247113</v>
      </c>
      <c r="G237" s="67">
        <f t="shared" si="17"/>
        <v>-156829.05828760052</v>
      </c>
      <c r="H237" s="68">
        <f>YieldCurve!G29</f>
        <v>0.91725262469018398</v>
      </c>
      <c r="I237" s="67">
        <f t="shared" si="18"/>
        <v>-151074.98367392085</v>
      </c>
      <c r="J237" s="68">
        <f>YieldCurve!I29</f>
        <v>0.98989103682498436</v>
      </c>
      <c r="K237" s="67">
        <f t="shared" si="19"/>
        <v>-163038.80545210448</v>
      </c>
      <c r="L237" s="68">
        <f>YieldCurve!K29</f>
        <v>0.94249623328749621</v>
      </c>
      <c r="M237" s="67">
        <f t="shared" si="20"/>
        <v>-155232.70168317476</v>
      </c>
      <c r="N237" s="68">
        <f>YieldCurve!M29</f>
        <v>0.96208222494700479</v>
      </c>
      <c r="O237" s="67">
        <f t="shared" si="21"/>
        <v>-158458.58874040423</v>
      </c>
      <c r="P237" s="70">
        <f>YieldCurve!D29</f>
        <v>0.95218852151247113</v>
      </c>
      <c r="Q237" s="67">
        <f t="shared" si="22"/>
        <v>-156829.05828760052</v>
      </c>
      <c r="R237" s="70">
        <f>YieldCurve!D29</f>
        <v>0.95218852151247113</v>
      </c>
      <c r="S237" s="67">
        <f t="shared" si="23"/>
        <v>-156829.05828760052</v>
      </c>
    </row>
    <row r="238" spans="2:19" ht="15" customHeight="1" x14ac:dyDescent="0.25">
      <c r="B238" s="69" t="s">
        <v>526</v>
      </c>
      <c r="C238" s="67">
        <f t="shared" si="16"/>
        <v>71534.61</v>
      </c>
      <c r="D238" s="67">
        <f t="shared" si="16"/>
        <v>312834.93999999994</v>
      </c>
      <c r="E238" s="67">
        <f t="shared" si="16"/>
        <v>-241300.32999999996</v>
      </c>
      <c r="F238" s="68">
        <f>YieldCurve!D30</f>
        <v>0.87493430044427167</v>
      </c>
      <c r="G238" s="67">
        <f t="shared" si="17"/>
        <v>-211121.93542552186</v>
      </c>
      <c r="H238" s="68">
        <f>YieldCurve!G30</f>
        <v>0.80454214827626869</v>
      </c>
      <c r="I238" s="67">
        <f t="shared" si="18"/>
        <v>-194136.28587797252</v>
      </c>
      <c r="J238" s="68">
        <f>YieldCurve!I30</f>
        <v>0.95882520658110948</v>
      </c>
      <c r="K238" s="67">
        <f t="shared" si="19"/>
        <v>-231364.83876033986</v>
      </c>
      <c r="L238" s="68">
        <f>YieldCurve!K30</f>
        <v>0.87493430044427167</v>
      </c>
      <c r="M238" s="67">
        <f t="shared" si="20"/>
        <v>-211121.93542552186</v>
      </c>
      <c r="N238" s="68">
        <f>YieldCurve!M30</f>
        <v>0.87493430044427167</v>
      </c>
      <c r="O238" s="67">
        <f t="shared" si="21"/>
        <v>-211121.93542552186</v>
      </c>
      <c r="P238" s="70">
        <f>YieldCurve!D30</f>
        <v>0.87493430044427167</v>
      </c>
      <c r="Q238" s="67">
        <f t="shared" si="22"/>
        <v>-211121.93542552186</v>
      </c>
      <c r="R238" s="70">
        <f>YieldCurve!D30</f>
        <v>0.87493430044427167</v>
      </c>
      <c r="S238" s="67">
        <f t="shared" si="23"/>
        <v>-211121.93542552186</v>
      </c>
    </row>
    <row r="239" spans="2:19" ht="15" customHeight="1" x14ac:dyDescent="0.25">
      <c r="B239" s="69" t="s">
        <v>680</v>
      </c>
      <c r="C239" s="67">
        <f t="shared" si="16"/>
        <v>54905.68</v>
      </c>
      <c r="D239" s="67">
        <f t="shared" si="16"/>
        <v>179330.68</v>
      </c>
      <c r="E239" s="67">
        <f t="shared" si="16"/>
        <v>-124425</v>
      </c>
      <c r="F239" s="68">
        <f>YieldCurve!D31</f>
        <v>0.77799518702144743</v>
      </c>
      <c r="G239" s="67">
        <f t="shared" si="17"/>
        <v>-96802.051145143603</v>
      </c>
      <c r="H239" s="68">
        <f>YieldCurve!G31</f>
        <v>0.67323973267491022</v>
      </c>
      <c r="I239" s="67">
        <f t="shared" si="18"/>
        <v>-83767.853738075704</v>
      </c>
      <c r="J239" s="68">
        <f>YieldCurve!I31</f>
        <v>0.92135753212534244</v>
      </c>
      <c r="K239" s="67">
        <f t="shared" si="19"/>
        <v>-114639.91093469573</v>
      </c>
      <c r="L239" s="68">
        <f>YieldCurve!K31</f>
        <v>0.83657156567383939</v>
      </c>
      <c r="M239" s="67">
        <f t="shared" si="20"/>
        <v>-104090.41705896746</v>
      </c>
      <c r="N239" s="68">
        <f>YieldCurve!M31</f>
        <v>0.72708500959931355</v>
      </c>
      <c r="O239" s="67">
        <f t="shared" si="21"/>
        <v>-90467.552319394585</v>
      </c>
      <c r="P239" s="70">
        <f>YieldCurve!D31</f>
        <v>0.77799518702144743</v>
      </c>
      <c r="Q239" s="67">
        <f t="shared" si="22"/>
        <v>-96802.051145143603</v>
      </c>
      <c r="R239" s="70">
        <f>YieldCurve!D31</f>
        <v>0.77799518702144743</v>
      </c>
      <c r="S239" s="67">
        <f t="shared" si="23"/>
        <v>-96802.051145143603</v>
      </c>
    </row>
    <row r="240" spans="2:19" ht="15" customHeight="1" x14ac:dyDescent="0.25">
      <c r="B240" s="36" t="s">
        <v>695</v>
      </c>
      <c r="C240" s="71"/>
      <c r="D240" s="71"/>
      <c r="E240" s="72">
        <f>SUM(E233:E239)</f>
        <v>-423795.99999999983</v>
      </c>
      <c r="F240" s="73"/>
      <c r="G240" s="72">
        <f>SUM(G233:G239)</f>
        <v>-360082.39258274704</v>
      </c>
      <c r="I240" s="72">
        <f>SUM(I233:I239)</f>
        <v>-326043.80148143659</v>
      </c>
      <c r="K240" s="72">
        <f>SUM(K233:K239)</f>
        <v>-402664.23213551717</v>
      </c>
      <c r="M240" s="72">
        <f>SUM(M233:M239)</f>
        <v>-366613.0138351983</v>
      </c>
      <c r="O240" s="72">
        <f>SUM(O233:O239)</f>
        <v>-354540.70181099477</v>
      </c>
      <c r="Q240" s="72">
        <f>SUM(Q233:Q239)</f>
        <v>-363764.07146569958</v>
      </c>
      <c r="S240" s="72">
        <f>SUM(S233:S239)</f>
        <v>-356459.27982254606</v>
      </c>
    </row>
    <row r="241" spans="1:19" ht="15" customHeight="1" x14ac:dyDescent="0.25">
      <c r="C241" s="121"/>
      <c r="D241" s="121"/>
      <c r="E241" s="121"/>
      <c r="F241" s="122"/>
      <c r="G241" s="123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</row>
    <row r="242" spans="1:19" ht="15" customHeight="1" x14ac:dyDescent="0.25">
      <c r="B242" s="1" t="s">
        <v>696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" customHeight="1" x14ac:dyDescent="0.25">
      <c r="B243" s="66" t="s">
        <v>218</v>
      </c>
      <c r="C243" s="66" t="s">
        <v>697</v>
      </c>
      <c r="D243" s="66" t="s">
        <v>698</v>
      </c>
      <c r="E243" s="66" t="s">
        <v>699</v>
      </c>
      <c r="F243" s="66" t="s">
        <v>700</v>
      </c>
      <c r="G243" s="66" t="s">
        <v>701</v>
      </c>
    </row>
    <row r="244" spans="1:19" ht="15" customHeight="1" x14ac:dyDescent="0.25">
      <c r="B244" s="80" t="s">
        <v>702</v>
      </c>
      <c r="C244" s="67">
        <f>SUM(I233:I239)</f>
        <v>-326043.80148143659</v>
      </c>
      <c r="D244" s="67">
        <f>G240</f>
        <v>-360082.39258274704</v>
      </c>
      <c r="E244" s="67">
        <f t="shared" ref="E244:E249" si="24">C244-D244</f>
        <v>34038.591101310449</v>
      </c>
      <c r="F244" s="81">
        <f>ABS(E244)/Engine!$D$145</f>
        <v>0.25753059324756528</v>
      </c>
      <c r="G244" s="80" t="str">
        <f t="shared" ref="G244:G249" si="25">IF(F244&gt;0.15,"OUTLIER: "&amp;TEXT(F244,"0.0%")&amp;" &gt; 15% Tier 1 threshold","Within limit — "&amp;TEXT(F244,"0.0%"))</f>
        <v>OUTLIER: 25.8% &gt; 15% Tier 1 threshold</v>
      </c>
    </row>
    <row r="245" spans="1:19" ht="15" customHeight="1" x14ac:dyDescent="0.25">
      <c r="B245" s="82" t="s">
        <v>703</v>
      </c>
      <c r="C245" s="83">
        <f>SUM(K233:K239)</f>
        <v>-402664.23213551717</v>
      </c>
      <c r="D245" s="83">
        <f>G240</f>
        <v>-360082.39258274704</v>
      </c>
      <c r="E245" s="83">
        <f t="shared" si="24"/>
        <v>-42581.839552770136</v>
      </c>
      <c r="F245" s="84">
        <f>ABS(E245)/Engine!$D$145</f>
        <v>0.32216745895735238</v>
      </c>
      <c r="G245" s="82" t="str">
        <f t="shared" si="25"/>
        <v>OUTLIER: 32.2% &gt; 15% Tier 1 threshold</v>
      </c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</row>
    <row r="246" spans="1:19" ht="15" customHeight="1" x14ac:dyDescent="0.25">
      <c r="B246" s="69" t="s">
        <v>704</v>
      </c>
      <c r="C246" s="71">
        <f>SUM(M233:M239)</f>
        <v>-366613.0138351983</v>
      </c>
      <c r="D246" s="71">
        <f>G240</f>
        <v>-360082.39258274704</v>
      </c>
      <c r="E246" s="71">
        <f t="shared" si="24"/>
        <v>-6530.6212524512666</v>
      </c>
      <c r="F246" s="73">
        <f>ABS(E246)/Engine!$D$145</f>
        <v>4.9409646845053577E-2</v>
      </c>
      <c r="G246" s="69" t="str">
        <f t="shared" si="25"/>
        <v>Within limit — 4.9%</v>
      </c>
    </row>
    <row r="247" spans="1:19" ht="15" customHeight="1" x14ac:dyDescent="0.25">
      <c r="B247" s="74" t="s">
        <v>705</v>
      </c>
      <c r="C247" s="75">
        <f>SUM(O233:O239)</f>
        <v>-354540.70181099477</v>
      </c>
      <c r="D247" s="75">
        <f>G240</f>
        <v>-360082.39258274704</v>
      </c>
      <c r="E247" s="75">
        <f t="shared" si="24"/>
        <v>5541.6907717522699</v>
      </c>
      <c r="F247" s="76">
        <f>ABS(E247)/Engine!$D$145</f>
        <v>4.1927555338475107E-2</v>
      </c>
      <c r="G247" s="74" t="str">
        <f t="shared" si="25"/>
        <v>Within limit — 4.2%</v>
      </c>
    </row>
    <row r="248" spans="1:19" ht="15" customHeight="1" x14ac:dyDescent="0.25">
      <c r="B248" s="79" t="s">
        <v>706</v>
      </c>
      <c r="C248" s="77">
        <f>SUM(Q233:Q239)</f>
        <v>-363764.07146569958</v>
      </c>
      <c r="D248" s="77">
        <f>G240</f>
        <v>-360082.39258274704</v>
      </c>
      <c r="E248" s="77">
        <f t="shared" si="24"/>
        <v>-3681.6788829525467</v>
      </c>
      <c r="F248" s="78">
        <f>ABS(E248)/Engine!$D$145</f>
        <v>2.7854999757534041E-2</v>
      </c>
      <c r="G248" s="79" t="str">
        <f t="shared" si="25"/>
        <v>Within limit — 2.8%</v>
      </c>
    </row>
    <row r="249" spans="1:19" ht="15" customHeight="1" x14ac:dyDescent="0.25">
      <c r="B249" s="85" t="s">
        <v>707</v>
      </c>
      <c r="C249" s="86">
        <f>SUM(S233:S239)</f>
        <v>-356459.27982254606</v>
      </c>
      <c r="D249" s="86">
        <f>G240</f>
        <v>-360082.39258274704</v>
      </c>
      <c r="E249" s="86">
        <f t="shared" si="24"/>
        <v>3623.1127602009801</v>
      </c>
      <c r="F249" s="87">
        <f>ABS(E249)/Engine!$D$145</f>
        <v>2.7411897741603658E-2</v>
      </c>
      <c r="G249" s="85" t="str">
        <f t="shared" si="25"/>
        <v>Within limit — 2.7%</v>
      </c>
    </row>
    <row r="251" spans="1:19" ht="15" customHeight="1" x14ac:dyDescent="0.25">
      <c r="A251" s="8"/>
      <c r="B251" s="88" t="s">
        <v>708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1:19" ht="15" customHeight="1" x14ac:dyDescent="0.25">
      <c r="A252" s="8"/>
      <c r="B252" s="66" t="s">
        <v>709</v>
      </c>
      <c r="C252" s="66" t="s">
        <v>710</v>
      </c>
      <c r="D252" s="66" t="s">
        <v>711</v>
      </c>
      <c r="E252" s="66" t="s">
        <v>712</v>
      </c>
      <c r="F252" s="66" t="s">
        <v>713</v>
      </c>
      <c r="G252" s="66" t="s">
        <v>714</v>
      </c>
      <c r="H252" s="8"/>
      <c r="I252" s="8"/>
      <c r="J252" s="8"/>
      <c r="K252" s="8"/>
      <c r="L252" s="8"/>
      <c r="M252" s="8"/>
      <c r="N252" s="8"/>
    </row>
    <row r="253" spans="1:19" ht="15" customHeight="1" x14ac:dyDescent="0.25">
      <c r="A253" s="5"/>
      <c r="B253" s="80" t="s">
        <v>715</v>
      </c>
      <c r="C253" s="81">
        <f>ABS(F244)</f>
        <v>0.25753059324756528</v>
      </c>
      <c r="D253" s="89">
        <f>ABS(E224)/(1-Engine!$C$256)/Engine!$D$145</f>
        <v>0.29432533134603889</v>
      </c>
      <c r="E253" s="81">
        <f>ABS(C253-D253)</f>
        <v>3.6794738098473612E-2</v>
      </c>
      <c r="F253" s="81">
        <f>IF(D253&lt;&gt;0,E253/D253,0)</f>
        <v>0.12501383394422808</v>
      </c>
      <c r="G253" s="80" t="str">
        <f>IF(D253=0,"Check inputs",IF(F253&lt;0.15,"PASS — within 15% tolerance (methodology gap expected)","NOTE: Gap exceeds 15% — review duration assumptions vs convexity"))</f>
        <v>PASS — within 15% tolerance (methodology gap expected)</v>
      </c>
      <c r="M253" s="8"/>
      <c r="N253" s="8"/>
    </row>
    <row r="254" spans="1:19" ht="15" customHeight="1" x14ac:dyDescent="0.25">
      <c r="A254" s="8"/>
      <c r="H254" s="8"/>
      <c r="I254" s="8"/>
      <c r="J254" s="8"/>
      <c r="K254" s="8"/>
      <c r="L254" s="8"/>
      <c r="M254" s="8"/>
      <c r="N254" s="8"/>
    </row>
    <row r="255" spans="1:19" ht="15" customHeight="1" x14ac:dyDescent="0.25">
      <c r="A255" s="8"/>
      <c r="H255" s="8"/>
      <c r="I255" s="8"/>
      <c r="J255" s="8"/>
      <c r="K255" s="8"/>
      <c r="L255" s="8"/>
      <c r="M255" s="8"/>
      <c r="N255" s="8"/>
    </row>
    <row r="256" spans="1:19" ht="15" customHeight="1" x14ac:dyDescent="0.25">
      <c r="A256" s="8"/>
      <c r="H256" s="8"/>
      <c r="I256" s="8"/>
      <c r="J256" s="8"/>
      <c r="K256" s="8"/>
      <c r="L256" s="8"/>
      <c r="M256" s="8"/>
      <c r="N256" s="8"/>
    </row>
    <row r="257" spans="1:19" ht="15" customHeight="1" x14ac:dyDescent="0.25">
      <c r="A257" s="8"/>
      <c r="H257" s="8"/>
      <c r="I257" s="8"/>
      <c r="J257" s="8"/>
      <c r="K257" s="8"/>
      <c r="L257" s="8"/>
      <c r="M257" s="8"/>
      <c r="N257" s="8"/>
    </row>
    <row r="258" spans="1:19" ht="15" customHeight="1" x14ac:dyDescent="0.25">
      <c r="A258" s="8"/>
      <c r="H258" s="8"/>
      <c r="I258" s="8"/>
      <c r="J258" s="8"/>
      <c r="K258" s="8"/>
      <c r="L258" s="8"/>
      <c r="M258" s="8"/>
      <c r="N258" s="8"/>
    </row>
    <row r="259" spans="1:19" ht="15" customHeight="1" thickBot="1" x14ac:dyDescent="0.3">
      <c r="A259" s="8"/>
      <c r="B259" s="16" t="s">
        <v>716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</row>
    <row r="260" spans="1:19" ht="15" customHeight="1" collapsed="1" x14ac:dyDescent="0.25">
      <c r="A260" s="8"/>
      <c r="B260" s="11" t="s">
        <v>481</v>
      </c>
      <c r="C260" s="48" t="s">
        <v>717</v>
      </c>
      <c r="D260" s="48" t="s">
        <v>718</v>
      </c>
      <c r="E260" s="48" t="s">
        <v>719</v>
      </c>
      <c r="G260" s="8"/>
      <c r="H260" s="8"/>
      <c r="I260" s="8"/>
      <c r="J260" s="8"/>
      <c r="K260" s="8"/>
      <c r="L260" s="8"/>
      <c r="M260" s="8"/>
      <c r="N260" s="8"/>
    </row>
    <row r="261" spans="1:19" ht="15" customHeight="1" x14ac:dyDescent="0.25">
      <c r="A261" s="8"/>
      <c r="B261" s="11" t="s">
        <v>485</v>
      </c>
      <c r="C261" s="90">
        <f>YieldCurve!C25</f>
        <v>2.2499999999999999E-2</v>
      </c>
      <c r="D261" s="51">
        <v>0</v>
      </c>
      <c r="E261" s="40">
        <f t="shared" ref="E261:E268" si="26">C261+D261/10000</f>
        <v>2.2499999999999999E-2</v>
      </c>
      <c r="G261" s="8"/>
      <c r="H261" s="8"/>
      <c r="I261" s="8"/>
      <c r="J261" s="8"/>
      <c r="K261" s="8"/>
      <c r="L261" s="8"/>
      <c r="M261" s="8"/>
      <c r="N261" s="8"/>
    </row>
    <row r="262" spans="1:19" ht="15" customHeight="1" x14ac:dyDescent="0.25">
      <c r="A262" s="8"/>
      <c r="B262" s="11" t="s">
        <v>667</v>
      </c>
      <c r="C262" s="90">
        <f>YieldCurve!C25+(1/12-1/365)/(1/4-1/365)*(YieldCurve!C26-YieldCurve!C25)</f>
        <v>2.2825946445060016E-2</v>
      </c>
      <c r="D262" s="51">
        <v>5</v>
      </c>
      <c r="E262" s="40">
        <f t="shared" si="26"/>
        <v>2.3325946445060017E-2</v>
      </c>
      <c r="G262" s="8"/>
      <c r="H262" s="8"/>
      <c r="I262" s="8"/>
      <c r="J262" s="8"/>
      <c r="K262" s="8"/>
      <c r="L262" s="8"/>
      <c r="M262" s="8"/>
      <c r="N262" s="8"/>
    </row>
    <row r="263" spans="1:19" ht="15" customHeight="1" x14ac:dyDescent="0.25">
      <c r="A263" s="8"/>
      <c r="B263" s="11" t="s">
        <v>668</v>
      </c>
      <c r="C263" s="90">
        <f>YieldCurve!C26</f>
        <v>2.35E-2</v>
      </c>
      <c r="D263" s="51">
        <v>10</v>
      </c>
      <c r="E263" s="40">
        <f t="shared" si="26"/>
        <v>2.4500000000000001E-2</v>
      </c>
      <c r="G263" s="8"/>
      <c r="H263" s="8"/>
      <c r="I263" s="8"/>
      <c r="J263" s="8"/>
      <c r="K263" s="8"/>
      <c r="L263" s="8"/>
      <c r="M263" s="8"/>
      <c r="N263" s="8"/>
    </row>
    <row r="264" spans="1:19" ht="15" customHeight="1" x14ac:dyDescent="0.25">
      <c r="A264" s="8"/>
      <c r="B264" s="11" t="s">
        <v>669</v>
      </c>
      <c r="C264" s="90">
        <f>YieldCurve!C27</f>
        <v>2.3684210526315776E-2</v>
      </c>
      <c r="D264" s="51">
        <v>15</v>
      </c>
      <c r="E264" s="40">
        <f t="shared" si="26"/>
        <v>2.5184210526315778E-2</v>
      </c>
      <c r="F264" s="8"/>
      <c r="G264" s="8"/>
      <c r="H264" s="8"/>
      <c r="I264" s="8"/>
      <c r="J264" s="8"/>
      <c r="K264" s="8"/>
      <c r="L264" s="8"/>
      <c r="M264" s="8"/>
      <c r="N264" s="8"/>
    </row>
    <row r="265" spans="1:19" ht="15" customHeight="1" x14ac:dyDescent="0.25">
      <c r="A265" s="8"/>
      <c r="B265" s="11" t="s">
        <v>488</v>
      </c>
      <c r="C265" s="90">
        <f>YieldCurve!C28</f>
        <v>2.4052631578947326E-2</v>
      </c>
      <c r="D265" s="51">
        <v>20</v>
      </c>
      <c r="E265" s="40">
        <f t="shared" si="26"/>
        <v>2.6052631578947327E-2</v>
      </c>
      <c r="F265" s="8"/>
      <c r="G265" s="8"/>
      <c r="H265" s="8"/>
      <c r="I265" s="8"/>
      <c r="J265" s="8"/>
      <c r="K265" s="8"/>
      <c r="L265" s="8"/>
      <c r="M265" s="8"/>
      <c r="N265" s="8"/>
    </row>
    <row r="266" spans="1:19" ht="15" customHeight="1" x14ac:dyDescent="0.25">
      <c r="A266" s="8"/>
      <c r="B266" s="11" t="s">
        <v>489</v>
      </c>
      <c r="C266" s="90">
        <f>YieldCurve!C29</f>
        <v>2.5106098953799783E-2</v>
      </c>
      <c r="D266" s="51">
        <v>25</v>
      </c>
      <c r="E266" s="40">
        <f t="shared" si="26"/>
        <v>2.7606098953799781E-2</v>
      </c>
      <c r="F266" s="8"/>
      <c r="G266" s="8"/>
      <c r="H266" s="8"/>
      <c r="I266" s="8"/>
      <c r="J266" s="8"/>
      <c r="K266" s="8"/>
      <c r="L266" s="8"/>
      <c r="M266" s="8"/>
      <c r="N266" s="8"/>
    </row>
    <row r="267" spans="1:19" ht="15" customHeight="1" x14ac:dyDescent="0.25">
      <c r="A267" s="8"/>
      <c r="B267" s="11" t="s">
        <v>490</v>
      </c>
      <c r="C267" s="90">
        <f>YieldCurve!C30</f>
        <v>2.8588592193087604E-2</v>
      </c>
      <c r="D267" s="51">
        <v>35</v>
      </c>
      <c r="E267" s="40">
        <f t="shared" si="26"/>
        <v>3.2088592193087608E-2</v>
      </c>
      <c r="F267" s="8"/>
      <c r="G267" s="8"/>
      <c r="H267" s="8"/>
      <c r="I267" s="8"/>
      <c r="J267" s="8"/>
      <c r="K267" s="8"/>
      <c r="L267" s="8"/>
      <c r="M267" s="8"/>
      <c r="N267" s="8"/>
    </row>
    <row r="268" spans="1:19" ht="15" customHeight="1" x14ac:dyDescent="0.25">
      <c r="A268" s="8"/>
      <c r="B268" s="11" t="s">
        <v>491</v>
      </c>
      <c r="C268" s="90">
        <f>YieldCurve!C31</f>
        <v>2.8535499535478803E-2</v>
      </c>
      <c r="D268" s="51">
        <v>50</v>
      </c>
      <c r="E268" s="40">
        <f t="shared" si="26"/>
        <v>3.3535499535478804E-2</v>
      </c>
      <c r="F268" s="8"/>
      <c r="G268" s="8"/>
      <c r="H268" s="8"/>
      <c r="I268" s="8"/>
      <c r="J268" s="8"/>
      <c r="K268" s="8"/>
      <c r="L268" s="8"/>
      <c r="M268" s="8"/>
      <c r="N268" s="8"/>
    </row>
    <row r="269" spans="1:19" ht="15" customHeight="1" x14ac:dyDescent="0.25">
      <c r="A269" s="8"/>
      <c r="B269" s="11"/>
      <c r="C269" s="33"/>
      <c r="D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9" ht="15" customHeight="1" x14ac:dyDescent="0.25">
      <c r="A270" s="8"/>
      <c r="B270" s="11" t="s">
        <v>720</v>
      </c>
      <c r="C270" s="8"/>
      <c r="D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1:19" ht="15" customHeight="1" x14ac:dyDescent="0.25">
      <c r="A271" s="8"/>
      <c r="B271" s="11" t="s">
        <v>721</v>
      </c>
      <c r="C271" s="56">
        <v>4.4999999999999998E-2</v>
      </c>
      <c r="D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1:19" ht="15" customHeight="1" x14ac:dyDescent="0.25">
      <c r="A272" s="8"/>
      <c r="B272" s="11" t="s">
        <v>722</v>
      </c>
      <c r="C272" s="40">
        <f>E267</f>
        <v>3.2088592193087608E-2</v>
      </c>
      <c r="D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1:14" ht="15" customHeight="1" x14ac:dyDescent="0.25">
      <c r="A273" s="8"/>
      <c r="B273" s="11" t="s">
        <v>723</v>
      </c>
      <c r="C273" s="40">
        <f>C271-C272</f>
        <v>1.2911407806912391E-2</v>
      </c>
      <c r="D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1:14" ht="15" customHeight="1" x14ac:dyDescent="0.25">
      <c r="A274" s="8"/>
      <c r="B274" s="11" t="s">
        <v>724</v>
      </c>
      <c r="C274" s="32">
        <f>Engine!E128*0.3</f>
        <v>277283.62199999997</v>
      </c>
      <c r="D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1:14" ht="15" customHeight="1" x14ac:dyDescent="0.25">
      <c r="A275" s="8"/>
      <c r="B275" s="11" t="s">
        <v>725</v>
      </c>
      <c r="C275" s="33">
        <f>C273*C274</f>
        <v>3580.1219218197439</v>
      </c>
      <c r="D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1:14" ht="15" customHeight="1" x14ac:dyDescent="0.25">
      <c r="A276" s="8"/>
      <c r="B276" s="11"/>
      <c r="C276" s="33"/>
      <c r="D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1:14" ht="15" customHeight="1" x14ac:dyDescent="0.25">
      <c r="A277" s="8"/>
      <c r="B277" s="11" t="s">
        <v>726</v>
      </c>
      <c r="C277" s="8"/>
      <c r="D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1:14" ht="15" customHeight="1" x14ac:dyDescent="0.25">
      <c r="A278" s="8"/>
      <c r="B278" s="11" t="s">
        <v>727</v>
      </c>
      <c r="C278" s="40">
        <f>Engine!E117</f>
        <v>4.0000000000000001E-3</v>
      </c>
      <c r="D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1:14" ht="15" customHeight="1" x14ac:dyDescent="0.25">
      <c r="A279" s="8"/>
      <c r="B279" s="11" t="s">
        <v>728</v>
      </c>
      <c r="C279" s="40">
        <f>E261</f>
        <v>2.2499999999999999E-2</v>
      </c>
      <c r="D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1:14" ht="15" customHeight="1" x14ac:dyDescent="0.25">
      <c r="A280" s="8"/>
      <c r="B280" s="11" t="s">
        <v>729</v>
      </c>
      <c r="C280" s="40">
        <f>C279-C278</f>
        <v>1.8499999999999999E-2</v>
      </c>
      <c r="D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1:14" ht="15" customHeight="1" x14ac:dyDescent="0.25">
      <c r="A281" s="8"/>
      <c r="B281" s="11" t="s">
        <v>730</v>
      </c>
      <c r="C281" s="32">
        <f>Engine!E136</f>
        <v>1102453.0999999999</v>
      </c>
      <c r="F281" s="8"/>
      <c r="G281" s="8"/>
      <c r="H281" s="8"/>
      <c r="I281" s="8"/>
      <c r="J281" s="8"/>
      <c r="K281" s="8"/>
      <c r="L281" s="8"/>
      <c r="M281" s="8"/>
      <c r="N281" s="8"/>
    </row>
    <row r="282" spans="1:14" ht="15" customHeight="1" x14ac:dyDescent="0.25">
      <c r="A282" s="8"/>
      <c r="B282" s="11" t="s">
        <v>725</v>
      </c>
      <c r="C282" s="33">
        <f>C280*C281</f>
        <v>20395.382349999996</v>
      </c>
      <c r="F282" s="8"/>
      <c r="G282" s="8"/>
      <c r="H282" s="8"/>
      <c r="I282" s="8"/>
      <c r="J282" s="8"/>
      <c r="K282" s="8"/>
      <c r="L282" s="8"/>
      <c r="M282" s="8"/>
      <c r="N282" s="8"/>
    </row>
    <row r="283" spans="1:14" ht="15" customHeight="1" thickBot="1" x14ac:dyDescent="0.3">
      <c r="A283" s="8"/>
      <c r="B283" s="14" t="s">
        <v>731</v>
      </c>
      <c r="C283" s="40"/>
      <c r="D283" s="40"/>
      <c r="F283" s="8"/>
      <c r="G283" s="8"/>
      <c r="H283" s="8"/>
      <c r="I283" s="8"/>
      <c r="J283" s="8"/>
      <c r="K283" s="8"/>
      <c r="L283" s="8"/>
      <c r="M283" s="8"/>
      <c r="N283" s="8"/>
    </row>
    <row r="284" spans="1:14" ht="15" customHeight="1" x14ac:dyDescent="0.25">
      <c r="A284" s="8"/>
      <c r="B284" s="11"/>
      <c r="C284" s="40"/>
      <c r="F284" s="8"/>
      <c r="G284" s="8"/>
      <c r="H284" s="8"/>
      <c r="I284" s="8"/>
      <c r="J284" s="8"/>
      <c r="K284" s="8"/>
      <c r="L284" s="8"/>
      <c r="M284" s="8"/>
      <c r="N284" s="8"/>
    </row>
    <row r="285" spans="1:14" ht="15" customHeight="1" x14ac:dyDescent="0.25">
      <c r="A285" s="8"/>
      <c r="B285" s="11" t="s">
        <v>732</v>
      </c>
      <c r="C285" s="33"/>
      <c r="D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1:14" ht="15" customHeight="1" x14ac:dyDescent="0.25">
      <c r="A286" s="8"/>
      <c r="B286" s="11"/>
      <c r="C286" s="40"/>
      <c r="D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1:14" ht="15" customHeight="1" x14ac:dyDescent="0.25">
      <c r="B287" s="57" t="s">
        <v>733</v>
      </c>
    </row>
    <row r="288" spans="1:14" ht="15" customHeight="1" x14ac:dyDescent="0.25">
      <c r="B288" s="11" t="s">
        <v>734</v>
      </c>
      <c r="C288" s="48" t="s">
        <v>735</v>
      </c>
      <c r="D288" s="48" t="s">
        <v>736</v>
      </c>
      <c r="E288" s="48" t="s">
        <v>737</v>
      </c>
    </row>
    <row r="289" spans="2:19" ht="15" customHeight="1" x14ac:dyDescent="0.25">
      <c r="B289" s="11" t="s">
        <v>738</v>
      </c>
      <c r="C289" s="40">
        <f>ABS(E224-D57)/ABS(D57)</f>
        <v>2.0781517719990871E-16</v>
      </c>
      <c r="D289" s="40">
        <f>ABS(E224-D57)</f>
        <v>3.637978807091713E-12</v>
      </c>
      <c r="E289" s="33" t="str">
        <f>IF(C289&lt;0.05,"PASS","FAIL")</f>
        <v>PASS</v>
      </c>
    </row>
    <row r="290" spans="2:19" ht="15" customHeight="1" x14ac:dyDescent="0.25">
      <c r="B290" s="11" t="s">
        <v>739</v>
      </c>
      <c r="C290" s="40">
        <f ca="1">ABS(J191-D23)/D23</f>
        <v>2.6218997101682953E-3</v>
      </c>
      <c r="D290" s="33">
        <f ca="1">ABS(J191-D23)</f>
        <v>59.479547791790537</v>
      </c>
      <c r="E290" s="33" t="str">
        <f ca="1">IF(C290&lt;0.01,"PASS","FAIL")</f>
        <v>PASS</v>
      </c>
    </row>
    <row r="291" spans="2:19" ht="15" customHeight="1" x14ac:dyDescent="0.25">
      <c r="B291" s="11" t="s">
        <v>740</v>
      </c>
      <c r="C291" s="33" t="str">
        <f>IFERROR(IF(MATCH("BREACH",H199:H204,0)&gt;0,"Within 1Y","Beyond 1Y"),"Beyond 1Y")</f>
        <v>Beyond 1Y</v>
      </c>
      <c r="D291" s="91"/>
      <c r="E291" s="33" t="str">
        <f>IF(C291="Beyond 1Y","PASS","CHECK DATA")</f>
        <v>PASS</v>
      </c>
    </row>
    <row r="292" spans="2:19" ht="15" customHeight="1" x14ac:dyDescent="0.25">
      <c r="B292" s="11" t="s">
        <v>741</v>
      </c>
      <c r="C292" s="260">
        <f>E240-E233</f>
        <v>74323.500000000175</v>
      </c>
      <c r="E292" s="33" t="str">
        <f>IF(C292&gt;0,"PASS","INVERTED CURVE")</f>
        <v>PASS</v>
      </c>
    </row>
    <row r="293" spans="2:19" ht="15" customHeight="1" x14ac:dyDescent="0.25">
      <c r="B293" s="92"/>
    </row>
    <row r="294" spans="2:19" ht="15" customHeight="1" x14ac:dyDescent="0.25">
      <c r="B294" s="92"/>
    </row>
    <row r="295" spans="2:19" ht="15" customHeight="1" x14ac:dyDescent="0.25">
      <c r="B295" s="95" t="s">
        <v>742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7" spans="2:19" ht="15" customHeight="1" x14ac:dyDescent="0.25">
      <c r="B297" s="97" t="s">
        <v>743</v>
      </c>
      <c r="C297" s="98"/>
      <c r="D297" s="98"/>
      <c r="E297" s="98"/>
      <c r="F297" s="98"/>
    </row>
    <row r="298" spans="2:19" ht="15" customHeight="1" x14ac:dyDescent="0.25">
      <c r="B298" s="99"/>
      <c r="C298" s="100"/>
      <c r="D298" s="100"/>
      <c r="E298" s="100"/>
      <c r="F298" s="100"/>
    </row>
    <row r="299" spans="2:19" ht="15" customHeight="1" x14ac:dyDescent="0.25">
      <c r="B299" s="92" t="s">
        <v>744</v>
      </c>
      <c r="C299" s="93">
        <f>Engine!E128</f>
        <v>924278.74</v>
      </c>
      <c r="D299" s="101"/>
      <c r="E299" s="101"/>
      <c r="F299" s="101"/>
    </row>
    <row r="300" spans="2:19" ht="15" customHeight="1" x14ac:dyDescent="0.25">
      <c r="B300" s="92" t="s">
        <v>745</v>
      </c>
      <c r="C300" s="94">
        <f>Engine!D116</f>
        <v>3.7999999999999999E-2</v>
      </c>
    </row>
    <row r="301" spans="2:19" ht="15" customHeight="1" x14ac:dyDescent="0.25">
      <c r="B301" s="92" t="s">
        <v>746</v>
      </c>
      <c r="C301" s="96">
        <f>Engine!C24</f>
        <v>0.9</v>
      </c>
      <c r="D301" s="102"/>
      <c r="E301" s="102"/>
      <c r="F301" s="102"/>
    </row>
    <row r="302" spans="2:19" ht="15" customHeight="1" x14ac:dyDescent="0.25">
      <c r="B302" s="92"/>
      <c r="C302" s="102"/>
      <c r="D302" s="102"/>
      <c r="E302" s="102"/>
      <c r="F302" s="102"/>
    </row>
    <row r="303" spans="2:19" ht="15" customHeight="1" x14ac:dyDescent="0.25">
      <c r="B303" s="97" t="s">
        <v>747</v>
      </c>
      <c r="C303" s="98" t="s">
        <v>748</v>
      </c>
      <c r="D303" s="98" t="s">
        <v>749</v>
      </c>
      <c r="E303" s="98" t="s">
        <v>750</v>
      </c>
      <c r="F303" s="98" t="s">
        <v>751</v>
      </c>
    </row>
    <row r="304" spans="2:19" ht="15" customHeight="1" x14ac:dyDescent="0.25">
      <c r="B304" s="99" t="s">
        <v>752</v>
      </c>
      <c r="C304" s="100">
        <v>1</v>
      </c>
      <c r="D304" s="100">
        <v>0.5</v>
      </c>
      <c r="E304" s="100">
        <v>1.5</v>
      </c>
      <c r="F304" s="100">
        <v>2</v>
      </c>
    </row>
    <row r="305" spans="2:6" ht="15" customHeight="1" x14ac:dyDescent="0.25">
      <c r="B305" s="103" t="s">
        <v>753</v>
      </c>
      <c r="C305" s="101">
        <f>(Engine!E116+Engine!C7*$C$301)-$C$300</f>
        <v>-2.250000000000002E-3</v>
      </c>
      <c r="D305" s="101">
        <f>(Engine!E116+Engine!C8*$C$301)-$C$300</f>
        <v>1.575E-2</v>
      </c>
      <c r="E305" s="101">
        <f>(Engine!E116+Engine!C9*$C$301)-$C$300</f>
        <v>-2.0250000000000004E-2</v>
      </c>
      <c r="F305" s="101">
        <f>(Engine!E116+Engine!C10*$C$301)-$C$300</f>
        <v>2.4750000000000001E-2</v>
      </c>
    </row>
    <row r="306" spans="2:6" ht="15" customHeight="1" x14ac:dyDescent="0.25">
      <c r="B306" s="92"/>
      <c r="C306" s="102"/>
      <c r="D306" s="102"/>
      <c r="E306" s="102"/>
      <c r="F306" s="102"/>
    </row>
    <row r="307" spans="2:6" ht="15" customHeight="1" x14ac:dyDescent="0.25">
      <c r="B307" s="92" t="s">
        <v>754</v>
      </c>
      <c r="C307" s="102">
        <f>0*$C$299*C304*C305</f>
        <v>0</v>
      </c>
      <c r="D307" s="102">
        <f>0*$C$299*D304*D305</f>
        <v>0</v>
      </c>
      <c r="E307" s="102">
        <f>0*$C$299*E304*E305</f>
        <v>0</v>
      </c>
      <c r="F307" s="102">
        <f>0*$C$299*F304*F305</f>
        <v>0</v>
      </c>
    </row>
    <row r="308" spans="2:6" ht="15" customHeight="1" x14ac:dyDescent="0.25">
      <c r="B308" s="92" t="s">
        <v>755</v>
      </c>
      <c r="C308" s="102">
        <f>0.05*$C$299*C304*C305</f>
        <v>-103.9813582500001</v>
      </c>
      <c r="D308" s="102">
        <f>0.05*$C$299*D304*D305</f>
        <v>363.93475387500007</v>
      </c>
      <c r="E308" s="102">
        <f>0.05*$C$299*E304*E305</f>
        <v>-1403.7483363750005</v>
      </c>
      <c r="F308" s="102">
        <f>0.05*$C$299*F304*F305</f>
        <v>2287.5898815000005</v>
      </c>
    </row>
    <row r="309" spans="2:6" ht="15" customHeight="1" x14ac:dyDescent="0.25">
      <c r="B309" s="104" t="s">
        <v>756</v>
      </c>
      <c r="C309" s="105">
        <f>0.1*$C$299*C304*C305</f>
        <v>-207.9627165000002</v>
      </c>
      <c r="D309" s="105">
        <f>0.1*$C$299*D304*D305</f>
        <v>727.86950775000014</v>
      </c>
      <c r="E309" s="105">
        <f>0.1*$C$299*E304*E305</f>
        <v>-2807.4966727500009</v>
      </c>
      <c r="F309" s="105">
        <f>0.1*$C$299*F304*F305</f>
        <v>4575.179763000001</v>
      </c>
    </row>
    <row r="310" spans="2:6" ht="15" customHeight="1" x14ac:dyDescent="0.25">
      <c r="B310" s="92" t="s">
        <v>757</v>
      </c>
      <c r="C310" s="102">
        <f>0.15*$C$299*C304*C305</f>
        <v>-311.94407475000025</v>
      </c>
      <c r="D310" s="102">
        <f>0.15*$C$299*D304*D305</f>
        <v>1091.804261625</v>
      </c>
      <c r="E310" s="102">
        <f>0.15*$C$299*E304*E305</f>
        <v>-4211.2450091250003</v>
      </c>
      <c r="F310" s="102">
        <f>0.15*$C$299*F304*F305</f>
        <v>6862.7696444999992</v>
      </c>
    </row>
    <row r="311" spans="2:6" ht="15" customHeight="1" x14ac:dyDescent="0.25">
      <c r="B311" s="92" t="s">
        <v>758</v>
      </c>
      <c r="C311" s="102">
        <f>0.2*$C$299*C304*C305</f>
        <v>-415.9254330000004</v>
      </c>
      <c r="D311" s="102">
        <f>0.2*$C$299*D304*D305</f>
        <v>1455.7390155000003</v>
      </c>
      <c r="E311" s="102">
        <f>0.2*$C$299*E304*E305</f>
        <v>-5614.9933455000019</v>
      </c>
      <c r="F311" s="102">
        <f>0.2*$C$299*F304*F305</f>
        <v>9150.359526000002</v>
      </c>
    </row>
    <row r="312" spans="2:6" ht="15" customHeight="1" x14ac:dyDescent="0.25">
      <c r="B312" s="92" t="s">
        <v>759</v>
      </c>
      <c r="C312" s="102">
        <f>0.25*$C$299*C304*C305</f>
        <v>-519.90679125000042</v>
      </c>
      <c r="D312" s="102">
        <f>0.25*$C$299*D304*D305</f>
        <v>1819.6737693749999</v>
      </c>
      <c r="E312" s="102">
        <f>0.25*$C$299*E304*E305</f>
        <v>-7018.7416818750007</v>
      </c>
      <c r="F312" s="102">
        <f>0.25*$C$299*F304*F305</f>
        <v>11437.9494075</v>
      </c>
    </row>
    <row r="313" spans="2:6" ht="15" customHeight="1" x14ac:dyDescent="0.25">
      <c r="B313" s="92" t="s">
        <v>760</v>
      </c>
      <c r="C313" s="102">
        <f>0.3*$C$299*C304*C305</f>
        <v>-623.88814950000051</v>
      </c>
      <c r="D313" s="102">
        <f>0.3*$C$299*D304*D305</f>
        <v>2183.60852325</v>
      </c>
      <c r="E313" s="102">
        <f>0.3*$C$299*E304*E305</f>
        <v>-8422.4900182500005</v>
      </c>
      <c r="F313" s="102">
        <f>0.3*$C$299*F304*F305</f>
        <v>13725.539288999998</v>
      </c>
    </row>
    <row r="314" spans="2:6" ht="15" customHeight="1" x14ac:dyDescent="0.25">
      <c r="B314" s="92"/>
      <c r="C314" s="106"/>
      <c r="D314" s="107"/>
    </row>
    <row r="316" spans="2:6" ht="15" customHeight="1" x14ac:dyDescent="0.25">
      <c r="B316" s="97"/>
      <c r="C316" s="98"/>
      <c r="D316" s="98"/>
      <c r="E316" s="98"/>
      <c r="F316" s="98"/>
    </row>
    <row r="317" spans="2:6" ht="15" customHeight="1" x14ac:dyDescent="0.25">
      <c r="B317" s="97" t="s">
        <v>761</v>
      </c>
      <c r="C317" s="109"/>
      <c r="D317" s="110"/>
      <c r="E317" s="111"/>
      <c r="F317" s="112"/>
    </row>
    <row r="318" spans="2:6" ht="15" customHeight="1" x14ac:dyDescent="0.25">
      <c r="B318" s="92"/>
      <c r="C318" s="109"/>
      <c r="D318" s="110"/>
      <c r="E318" s="111"/>
      <c r="F318" s="112"/>
    </row>
    <row r="319" spans="2:6" ht="15" customHeight="1" x14ac:dyDescent="0.25">
      <c r="B319" s="92" t="s">
        <v>762</v>
      </c>
      <c r="C319" s="113">
        <v>2.5</v>
      </c>
      <c r="D319" s="107" t="s">
        <v>763</v>
      </c>
      <c r="E319" s="111"/>
      <c r="F319" s="112"/>
    </row>
    <row r="320" spans="2:6" ht="15" customHeight="1" x14ac:dyDescent="0.25">
      <c r="B320" s="92" t="s">
        <v>764</v>
      </c>
      <c r="C320" s="106">
        <v>0.3</v>
      </c>
      <c r="D320" s="107" t="s">
        <v>765</v>
      </c>
      <c r="E320" s="111"/>
      <c r="F320" s="112"/>
    </row>
    <row r="322" spans="2:19" ht="15" customHeight="1" x14ac:dyDescent="0.25">
      <c r="B322" s="97" t="s">
        <v>747</v>
      </c>
      <c r="C322" s="98" t="s">
        <v>766</v>
      </c>
      <c r="D322" s="98" t="s">
        <v>767</v>
      </c>
      <c r="E322" s="98" t="s">
        <v>540</v>
      </c>
      <c r="F322" s="98" t="s">
        <v>768</v>
      </c>
    </row>
    <row r="323" spans="2:19" ht="15" customHeight="1" x14ac:dyDescent="0.25">
      <c r="B323" s="92" t="s">
        <v>754</v>
      </c>
      <c r="C323" s="109">
        <f>$C$319*(1-0*$C$320)</f>
        <v>2.5</v>
      </c>
      <c r="D323" s="110">
        <f>E222*(C323/$C$319)</f>
        <v>-194.50931009999999</v>
      </c>
      <c r="E323" s="111">
        <f>ABS(D323*200*(1-Engine!$C$256))</f>
        <v>17505.837908999998</v>
      </c>
      <c r="F323" s="112">
        <f>E323/Engine!$D$145</f>
        <v>0.13244639910571748</v>
      </c>
    </row>
    <row r="324" spans="2:19" ht="15" customHeight="1" x14ac:dyDescent="0.25">
      <c r="B324" s="92" t="s">
        <v>769</v>
      </c>
      <c r="C324" s="109">
        <f>$C$319*(1-0.1*$C$320)</f>
        <v>2.4249999999999998</v>
      </c>
      <c r="D324" s="110">
        <f>E222*(C324/$C$319)</f>
        <v>-188.674030797</v>
      </c>
      <c r="E324" s="111">
        <f>ABS(D324*200*(1-Engine!$C$256))</f>
        <v>16980.66277173</v>
      </c>
      <c r="F324" s="112">
        <f>E324/Engine!$D$145</f>
        <v>0.12847300713254597</v>
      </c>
    </row>
    <row r="325" spans="2:19" ht="15" customHeight="1" x14ac:dyDescent="0.25">
      <c r="B325" s="125" t="s">
        <v>758</v>
      </c>
      <c r="C325" s="109">
        <f>$C$319*(1-0.2*$C$320)</f>
        <v>2.3499999999999996</v>
      </c>
      <c r="D325" s="110">
        <f>E222*(C325/$C$319)</f>
        <v>-182.83875149399995</v>
      </c>
      <c r="E325" s="111">
        <f>ABS(D325*200*(1-Engine!$C$256))</f>
        <v>16455.487634459994</v>
      </c>
      <c r="F325" s="112">
        <f>E325/Engine!$D$145</f>
        <v>0.12449961515937441</v>
      </c>
    </row>
    <row r="326" spans="2:19" ht="15" customHeight="1" x14ac:dyDescent="0.25">
      <c r="B326" s="92" t="s">
        <v>760</v>
      </c>
      <c r="C326" s="109">
        <f>$C$319*(1-0.3*$C$320)</f>
        <v>2.2749999999999999</v>
      </c>
      <c r="D326" s="110">
        <f>E222*(C326/$C$319)</f>
        <v>-177.00347219099999</v>
      </c>
      <c r="E326" s="111">
        <f>ABS(D326*200*(1-Engine!$C$256))</f>
        <v>15930.312497189998</v>
      </c>
      <c r="F326" s="112">
        <f>E326/Engine!$D$145</f>
        <v>0.12052622318620292</v>
      </c>
    </row>
    <row r="327" spans="2:19" ht="15" customHeight="1" x14ac:dyDescent="0.25">
      <c r="B327" s="97"/>
      <c r="C327" s="91"/>
      <c r="E327" s="91"/>
      <c r="F327" s="91"/>
    </row>
    <row r="328" spans="2:19" ht="15" customHeight="1" x14ac:dyDescent="0.25">
      <c r="B328" s="108" t="s">
        <v>770</v>
      </c>
      <c r="C328" s="98"/>
      <c r="D328" s="98"/>
    </row>
    <row r="329" spans="2:19" ht="15" customHeight="1" x14ac:dyDescent="0.25">
      <c r="B329" s="92"/>
      <c r="C329" s="93"/>
      <c r="D329" s="114"/>
    </row>
    <row r="330" spans="2:19" ht="15" customHeight="1" x14ac:dyDescent="0.25">
      <c r="B330" s="92"/>
      <c r="C330" s="96"/>
      <c r="D330" s="115"/>
    </row>
    <row r="331" spans="2:19" ht="15" customHeight="1" x14ac:dyDescent="0.25">
      <c r="B331" s="265" t="str">
        <f>"SECTION 17 — ICAAP STRESS SUMMARY | SEVERE BUT PLAUSIBLE SCENARIO | Scenario: "&amp;CHOOSE(Engine!C4,"Base","Rate Hike","Rate Cut","Stress")</f>
        <v>SECTION 17 — ICAAP STRESS SUMMARY | SEVERE BUT PLAUSIBLE SCENARIO | Scenario: Base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2:19" ht="15" customHeight="1" x14ac:dyDescent="0.25">
      <c r="B332" s="92"/>
      <c r="C332" s="93"/>
      <c r="D332" s="114"/>
    </row>
    <row r="333" spans="2:19" ht="15" customHeight="1" x14ac:dyDescent="0.25">
      <c r="B333" s="97" t="s">
        <v>771</v>
      </c>
      <c r="C333" s="96"/>
      <c r="D333" s="115"/>
    </row>
    <row r="334" spans="2:19" ht="15" customHeight="1" x14ac:dyDescent="0.25">
      <c r="B334" s="97" t="s">
        <v>170</v>
      </c>
      <c r="C334" s="98" t="s">
        <v>772</v>
      </c>
      <c r="D334" s="98" t="s">
        <v>773</v>
      </c>
    </row>
    <row r="335" spans="2:19" ht="15" customHeight="1" x14ac:dyDescent="0.25">
      <c r="B335" s="92" t="s">
        <v>774</v>
      </c>
      <c r="C335" s="93">
        <f>Engine!$C$5*10000</f>
        <v>0</v>
      </c>
      <c r="D335" s="114">
        <v>300</v>
      </c>
    </row>
    <row r="336" spans="2:19" ht="15" customHeight="1" x14ac:dyDescent="0.25">
      <c r="B336" s="92" t="s">
        <v>775</v>
      </c>
      <c r="C336" s="96">
        <f>Engine!$D$5</f>
        <v>0.03</v>
      </c>
      <c r="D336" s="115">
        <v>-0.05</v>
      </c>
    </row>
    <row r="337" spans="2:7" ht="15" customHeight="1" x14ac:dyDescent="0.25">
      <c r="B337" s="92" t="s">
        <v>776</v>
      </c>
      <c r="C337" s="96">
        <f>Engine!$E$5</f>
        <v>2.5000000000000001E-2</v>
      </c>
      <c r="D337" s="115">
        <v>-0.15</v>
      </c>
    </row>
    <row r="338" spans="2:7" ht="15" customHeight="1" x14ac:dyDescent="0.25">
      <c r="B338" s="92" t="s">
        <v>777</v>
      </c>
      <c r="C338" s="93">
        <f>Engine!$G$5</f>
        <v>25</v>
      </c>
      <c r="D338" s="114">
        <v>100</v>
      </c>
    </row>
    <row r="339" spans="2:7" ht="15" customHeight="1" x14ac:dyDescent="0.25">
      <c r="B339" s="92" t="s">
        <v>778</v>
      </c>
      <c r="C339" s="96">
        <f>Engine!$H$5</f>
        <v>0.62</v>
      </c>
      <c r="D339" s="115">
        <v>0.7</v>
      </c>
    </row>
    <row r="340" spans="2:7" ht="15" customHeight="1" x14ac:dyDescent="0.25">
      <c r="B340" s="92"/>
      <c r="C340" s="117"/>
    </row>
    <row r="341" spans="2:7" ht="15" customHeight="1" x14ac:dyDescent="0.25">
      <c r="B341" s="97" t="s">
        <v>779</v>
      </c>
      <c r="C341" s="117"/>
    </row>
    <row r="342" spans="2:7" ht="15" customHeight="1" x14ac:dyDescent="0.25">
      <c r="B342" s="92"/>
      <c r="C342" s="118"/>
    </row>
    <row r="343" spans="2:7" ht="15" customHeight="1" x14ac:dyDescent="0.25">
      <c r="B343" s="97" t="s">
        <v>709</v>
      </c>
      <c r="C343" s="98" t="s">
        <v>780</v>
      </c>
      <c r="D343" s="98" t="s">
        <v>781</v>
      </c>
      <c r="E343" s="98" t="s">
        <v>782</v>
      </c>
      <c r="F343" s="98" t="s">
        <v>783</v>
      </c>
      <c r="G343" s="98" t="s">
        <v>784</v>
      </c>
    </row>
    <row r="344" spans="2:7" ht="15" customHeight="1" x14ac:dyDescent="0.25">
      <c r="B344" s="92" t="s">
        <v>785</v>
      </c>
      <c r="C344" s="118" t="s">
        <v>786</v>
      </c>
      <c r="D344" s="102">
        <f ca="1">D23</f>
        <v>22685.668548310969</v>
      </c>
      <c r="E344" s="102">
        <f ca="1">(Engine!D128*(1+$D$336))*(Engine!D116+Engine!$C$24*(Engine!E15+$D$335/10000-Engine!D15))+Engine!E126*Engine!E14+Engine!D129*(Engine!E15+$D$335/10000+Engine!E27)+Engine!E130*(Engine!E17+$D$335/10000+Engine!E26)-(Engine!D136*(1+$D$337))*MAX(0,Engine!D117+Engine!$F$10*(Engine!E14+$D$335/10000-Engine!D14))-Engine!D137*(Engine!E15+$D$335/10000+Engine!E27)-Engine!D138*(Engine!E14+$D$335/10000+Engine!E28)-Engine!D139*(Engine!E17+$D$335/10000+Engine!E29)-Engine!D140*Engine!E30</f>
        <v>15354.57396831097</v>
      </c>
      <c r="F344" s="102">
        <f t="shared" ref="F344:F349" ca="1" si="27">E344-D344</f>
        <v>-7331.094579999999</v>
      </c>
      <c r="G344" s="116" t="str">
        <f ca="1">IF(E344&gt;=D344*0.9,"GREEN",IF(E344&gt;=D344*0.75,"AMBER","RED"))</f>
        <v>RED</v>
      </c>
    </row>
    <row r="345" spans="2:7" ht="15" customHeight="1" x14ac:dyDescent="0.25">
      <c r="B345" s="92" t="s">
        <v>787</v>
      </c>
      <c r="C345" s="118" t="s">
        <v>788</v>
      </c>
      <c r="D345" s="102">
        <f ca="1">D31</f>
        <v>11193.541478997473</v>
      </c>
      <c r="E345" s="102">
        <f ca="1">((E344+Engine!E132*Engine!$C$40)*(1-$D$339)-(Engine!D128*(1+$D$336)*$D$338/10000))*(1-Engine!$C$156)</f>
        <v>2162.0101667348467</v>
      </c>
      <c r="F345" s="102">
        <f t="shared" ca="1" si="27"/>
        <v>-9031.5313122626267</v>
      </c>
      <c r="G345" s="116" t="str">
        <f ca="1">IF(E345&gt;=0,"GREEN",IF(E345&gt;=D345*0.5,"AMBER","RED"))</f>
        <v>GREEN</v>
      </c>
    </row>
    <row r="346" spans="2:7" ht="15" customHeight="1" x14ac:dyDescent="0.25">
      <c r="B346" s="92" t="s">
        <v>789</v>
      </c>
      <c r="C346" s="117" t="s">
        <v>610</v>
      </c>
      <c r="D346" s="101">
        <f ca="1">D128</f>
        <v>0.15879655825400396</v>
      </c>
      <c r="E346" s="101">
        <f ca="1">(Engine!D145+E345*(1-Engine!$C$41))/((Engine!D128*(1+$D$336))*0.75+Engine!E130*0.2+Engine!D129*0.2+Engine!E127*Engine!$C$190)</f>
        <v>0.1649168664844963</v>
      </c>
      <c r="F346" s="101">
        <f t="shared" ca="1" si="27"/>
        <v>6.1203082304923384E-3</v>
      </c>
      <c r="G346" s="116" t="str">
        <f ca="1">IF(E346&gt;=0.135,"GREEN",IF(E346&gt;=0.1,"AMBER","RED"))</f>
        <v>GREEN</v>
      </c>
    </row>
    <row r="347" spans="2:7" ht="15" customHeight="1" x14ac:dyDescent="0.25">
      <c r="B347" s="92" t="s">
        <v>790</v>
      </c>
      <c r="C347" s="117" t="s">
        <v>614</v>
      </c>
      <c r="D347" s="112">
        <f ca="1">D93</f>
        <v>1.5354828102712694</v>
      </c>
      <c r="E347" s="112">
        <f ca="1">D74/(Engine!D136*ABS($D$337)+(D85-D77-D78)-MIN(D90,(Engine!D136*ABS($D$337)+(D85-D77-D78))*Engine!$C$71))</f>
        <v>1.1152301344414972</v>
      </c>
      <c r="F347" s="112">
        <f t="shared" ca="1" si="27"/>
        <v>-0.42025267582977222</v>
      </c>
      <c r="G347" s="116" t="str">
        <f ca="1">IF(E347&gt;=1,"GREEN",IF(E347&gt;=0.8,"AMBER","RED"))</f>
        <v>GREEN</v>
      </c>
    </row>
    <row r="348" spans="2:7" ht="15" customHeight="1" x14ac:dyDescent="0.25">
      <c r="B348" s="92" t="s">
        <v>791</v>
      </c>
      <c r="C348" s="118" t="s">
        <v>616</v>
      </c>
      <c r="D348" s="119">
        <f ca="1">F122</f>
        <v>0.96020359554417645</v>
      </c>
      <c r="E348" s="119">
        <f ca="1">(F106-Engine!D136*ABS($D$337)*(0.7*Engine!$C$76+0.3*Engine!$C$77))/F121</f>
        <v>0.858313132172562</v>
      </c>
      <c r="F348" s="119">
        <f t="shared" ca="1" si="27"/>
        <v>-0.10189046337161445</v>
      </c>
      <c r="G348" s="116" t="str">
        <f ca="1">IF(E348&gt;=1,"GREEN",IF(E348&gt;=0.9,"AMBER","RED"))</f>
        <v>RED</v>
      </c>
    </row>
    <row r="349" spans="2:7" ht="15" customHeight="1" x14ac:dyDescent="0.25">
      <c r="B349" s="92" t="s">
        <v>792</v>
      </c>
      <c r="C349" s="117" t="s">
        <v>793</v>
      </c>
      <c r="D349" s="112">
        <f>E225</f>
        <v>0.13244639910571748</v>
      </c>
      <c r="E349" s="112">
        <f>ABS(E222*$D$335*(1-Engine!$C$256))/Engine!$D$145</f>
        <v>0.19866959865857625</v>
      </c>
      <c r="F349" s="112">
        <f t="shared" si="27"/>
        <v>6.6223199552858769E-2</v>
      </c>
      <c r="G349" s="116" t="str">
        <f>IF(E349&lt;=0.15,"GREEN","RED")</f>
        <v>RED</v>
      </c>
    </row>
    <row r="356" spans="2:19" ht="15" customHeight="1" x14ac:dyDescent="0.25">
      <c r="B356" s="265" t="str">
        <f>"SECTION 18 — HEDGE EFFECTIVENESS SUMMARY | IRS OVERLAY | EBA/GL/2022/14 | Scenario: "&amp;CHOOSE(Engine!C4,"Base","Rate Hike","Rate Cut","Stress")</f>
        <v>SECTION 18 — HEDGE EFFECTIVENESS SUMMARY | IRS OVERLAY | EBA/GL/2022/14 | Scenario: Base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2:19" ht="15" customHeight="1" x14ac:dyDescent="0.25">
      <c r="B357" s="92"/>
      <c r="C357" s="111"/>
      <c r="D357" s="111"/>
      <c r="E357" s="111"/>
      <c r="F357" s="112"/>
      <c r="G357" s="103"/>
    </row>
    <row r="358" spans="2:19" ht="15" customHeight="1" x14ac:dyDescent="0.25">
      <c r="B358" s="97" t="s">
        <v>794</v>
      </c>
      <c r="C358" s="98" t="s">
        <v>795</v>
      </c>
      <c r="D358" s="98" t="s">
        <v>796</v>
      </c>
      <c r="E358" s="98" t="s">
        <v>797</v>
      </c>
      <c r="F358" s="98" t="s">
        <v>798</v>
      </c>
      <c r="G358" s="98" t="s">
        <v>799</v>
      </c>
    </row>
    <row r="359" spans="2:19" ht="15" customHeight="1" x14ac:dyDescent="0.25">
      <c r="B359" s="92" t="s">
        <v>800</v>
      </c>
      <c r="C359" s="111">
        <f>ABS(D57/(1-Engine!$C$256))</f>
        <v>38901.862019999993</v>
      </c>
      <c r="D359" s="111">
        <f>C359*Engine!$C$256</f>
        <v>21396.024110999999</v>
      </c>
      <c r="E359" s="111">
        <f t="shared" ref="E359:E364" si="28">ABS(D57)</f>
        <v>17505.837908999994</v>
      </c>
      <c r="F359" s="112">
        <f>ABS(D57)/Engine!$D$145</f>
        <v>0.13244639910571746</v>
      </c>
      <c r="G359" s="103" t="str">
        <f>IF(ABS(E331)=MAX(ABS(E331),ABS(E332),ABS(E333),ABS(E334),ABS(E335),ABS(E336)),"★ WORST CASE | ","")&amp;IF(ABS(D57)/Engine!$D$145&gt;Engine!$C$51,"OUTLIER ⛔  "&amp;TEXT(ABS(D57)/Engine!$D$145,"0.0%")&amp;" &gt; 15%","Within limit ✓  "&amp;TEXT(ABS(D57)/Engine!$D$145,"0.0%"))</f>
        <v>★ WORST CASE | Within limit ✓  13.2%</v>
      </c>
    </row>
    <row r="360" spans="2:19" ht="15" customHeight="1" x14ac:dyDescent="0.25">
      <c r="B360" s="92" t="s">
        <v>801</v>
      </c>
      <c r="C360" s="111">
        <f>ABS(D58/(1-Engine!$C$256))</f>
        <v>33066.58271699999</v>
      </c>
      <c r="D360" s="111">
        <f>C360*Engine!$C$256</f>
        <v>18186.620494349998</v>
      </c>
      <c r="E360" s="111">
        <f t="shared" si="28"/>
        <v>14879.962222649994</v>
      </c>
      <c r="F360" s="112">
        <f>ABS(D58)/Engine!$D$145</f>
        <v>0.11257943923985983</v>
      </c>
      <c r="G360" s="103" t="s">
        <v>811</v>
      </c>
    </row>
    <row r="361" spans="2:19" ht="15" customHeight="1" x14ac:dyDescent="0.25">
      <c r="B361" s="92" t="s">
        <v>802</v>
      </c>
      <c r="C361" s="111">
        <f>ABS(D59/(1-Engine!$C$256))</f>
        <v>17820.635210999997</v>
      </c>
      <c r="D361" s="111">
        <f>C361*Engine!$C$256</f>
        <v>9801.3493660499989</v>
      </c>
      <c r="E361" s="111">
        <f t="shared" si="28"/>
        <v>8019.2858449499981</v>
      </c>
      <c r="F361" s="112">
        <f>ABS(D59)/Engine!$D$145</f>
        <v>6.0672647552450186E-2</v>
      </c>
      <c r="G361" s="103" t="s">
        <v>812</v>
      </c>
    </row>
    <row r="362" spans="2:19" ht="15" customHeight="1" x14ac:dyDescent="0.25">
      <c r="B362" s="92" t="s">
        <v>803</v>
      </c>
      <c r="C362" s="111">
        <f>ABS(D60/(1-Engine!$C$256))</f>
        <v>17820.635210999997</v>
      </c>
      <c r="D362" s="111">
        <f>C362*Engine!$C$256</f>
        <v>9801.3493660499989</v>
      </c>
      <c r="E362" s="111">
        <f t="shared" si="28"/>
        <v>8019.2858449499981</v>
      </c>
      <c r="F362" s="112">
        <f>ABS(D60)/Engine!$D$145</f>
        <v>6.0672647552450186E-2</v>
      </c>
      <c r="G362" s="103" t="s">
        <v>812</v>
      </c>
    </row>
    <row r="363" spans="2:19" ht="15" customHeight="1" x14ac:dyDescent="0.25">
      <c r="B363" s="92" t="s">
        <v>804</v>
      </c>
      <c r="C363" s="111">
        <f>ABS(D61/(1-Engine!$C$256))</f>
        <v>437.21847500000075</v>
      </c>
      <c r="D363" s="111">
        <f>C363*Engine!$C$256</f>
        <v>240.47016125000044</v>
      </c>
      <c r="E363" s="111">
        <f t="shared" si="28"/>
        <v>196.74831375000031</v>
      </c>
      <c r="F363" s="112">
        <f>ABS(D61)/Engine!$D$145</f>
        <v>1.4885666039962798E-3</v>
      </c>
      <c r="G363" s="103" t="s">
        <v>813</v>
      </c>
    </row>
    <row r="364" spans="2:19" ht="15" customHeight="1" x14ac:dyDescent="0.25">
      <c r="B364" s="92" t="s">
        <v>805</v>
      </c>
      <c r="C364" s="111">
        <f>ABS(D62/(1-Engine!$C$256))</f>
        <v>371.63570375000063</v>
      </c>
      <c r="D364" s="111">
        <f>C364*Engine!$C$256</f>
        <v>204.39963706250037</v>
      </c>
      <c r="E364" s="111">
        <f t="shared" si="28"/>
        <v>167.23606668750026</v>
      </c>
      <c r="F364" s="112">
        <f>ABS(D62)/Engine!$D$145</f>
        <v>1.2652816133968379E-3</v>
      </c>
      <c r="G364" s="103" t="s">
        <v>813</v>
      </c>
    </row>
    <row r="366" spans="2:19" ht="15" customHeight="1" x14ac:dyDescent="0.25">
      <c r="B366" s="92" t="s">
        <v>806</v>
      </c>
      <c r="C366" s="103" t="str">
        <f>ROUND(E222*10000*Engine!$C$256/2.5/1000,0)&amp;" EUR bn (proxy: PVBP×10,000×hedge ratio / avg duration)"</f>
        <v>-428 EUR bn (proxy: PVBP×10,000×hedge ratio / avg duration)</v>
      </c>
    </row>
    <row r="367" spans="2:19" ht="15" customHeight="1" x14ac:dyDescent="0.25">
      <c r="B367" s="92" t="s">
        <v>807</v>
      </c>
      <c r="C367" s="120">
        <f>Engine!C256</f>
        <v>0.55000000000000004</v>
      </c>
    </row>
  </sheetData>
  <mergeCells count="13">
    <mergeCell ref="B76:H76"/>
    <mergeCell ref="B87:H87"/>
    <mergeCell ref="C97:D97"/>
    <mergeCell ref="E97:F97"/>
    <mergeCell ref="G97:H97"/>
    <mergeCell ref="B138:H138"/>
    <mergeCell ref="B149:H149"/>
    <mergeCell ref="B152:H152"/>
    <mergeCell ref="I97:J97"/>
    <mergeCell ref="C108:D108"/>
    <mergeCell ref="E108:F108"/>
    <mergeCell ref="G108:H108"/>
    <mergeCell ref="I108:J108"/>
  </mergeCells>
  <conditionalFormatting sqref="C325:G325">
    <cfRule type="expression" dxfId="6" priority="10">
      <formula>ABS($E$325)=MAX(ABS(F325),ABS(F326),ABS(F327),ABS(F328),ABS(F329),ABS(F330))</formula>
    </cfRule>
  </conditionalFormatting>
  <conditionalFormatting sqref="C160:I1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num" val="1.7399999999999999E-2"/>
        <cfvo type="max"/>
        <color rgb="FFFF0000"/>
        <color rgb="FFFFFFFF"/>
        <color rgb="FF00B050"/>
      </colorScale>
    </cfRule>
  </conditionalFormatting>
  <conditionalFormatting sqref="C331:S331">
    <cfRule type="expression" dxfId="5" priority="2">
      <formula>ABS($E$325)=MAX(ABS(F331),ABS(F332),ABS(F333),ABS(F334),ABS(F335),ABS(F336))</formula>
    </cfRule>
  </conditionalFormatting>
  <conditionalFormatting sqref="C356:S356">
    <cfRule type="expression" dxfId="4" priority="1">
      <formula>ABS($E$325)=MAX(ABS(F356),ABS(F357),ABS(F358),ABS(F359),ABS(F360),ABS(F361))</formula>
    </cfRule>
  </conditionalFormatting>
  <conditionalFormatting sqref="G148:I149">
    <cfRule type="cellIs" dxfId="3" priority="6" operator="lessThan">
      <formula>0</formula>
    </cfRule>
  </conditionalFormatting>
  <conditionalFormatting sqref="G150:I150">
    <cfRule type="cellIs" dxfId="2" priority="9" operator="greaterThan">
      <formula>0</formula>
    </cfRule>
  </conditionalFormatting>
  <conditionalFormatting sqref="G152:I154">
    <cfRule type="cellIs" dxfId="1" priority="7" operator="lessThan">
      <formula>0</formula>
    </cfRule>
  </conditionalFormatting>
  <conditionalFormatting sqref="G156:I156">
    <cfRule type="cellIs" dxfId="0" priority="8" operator="lessThan">
      <formula>0</formula>
    </cfRule>
  </conditionalFormatting>
  <pageMargins left="6.9444444444444441E-3" right="6.9444444444444441E-3" top="6.9444444444444441E-3" bottom="6.9444444444444441E-3" header="0.511811023622047" footer="0.511811023622047"/>
  <pageSetup paperSize="9" scale="6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</vt:lpstr>
      <vt:lpstr>Dashboard</vt:lpstr>
      <vt:lpstr>Master Balance Sheet</vt:lpstr>
      <vt:lpstr>Engine</vt:lpstr>
      <vt:lpstr>YieldCurve</vt:lpstr>
      <vt:lpstr>Model</vt:lpstr>
      <vt:lpstr>Cover!Print_Area</vt:lpstr>
      <vt:lpstr>Dashboard!Print_Area</vt:lpstr>
      <vt:lpstr>Engine!Print_Area</vt:lpstr>
      <vt:lpstr>'Master Balance Sheet'!Print_Area</vt:lpstr>
      <vt:lpstr>Model!Print_Area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hossam el tarrass</cp:lastModifiedBy>
  <cp:revision>15</cp:revision>
  <cp:lastPrinted>2026-05-16T21:18:10Z</cp:lastPrinted>
  <dcterms:created xsi:type="dcterms:W3CDTF">2026-03-16T23:00:55Z</dcterms:created>
  <dcterms:modified xsi:type="dcterms:W3CDTF">2026-05-16T21:18:26Z</dcterms:modified>
  <dc:language>en-US</dc:language>
</cp:coreProperties>
</file>